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OneDrive\Escritorio\Visualización\Grupo06_INF379_2026-1\tareas\tarea_1\individual\diego_carlon\"/>
    </mc:Choice>
  </mc:AlternateContent>
  <xr:revisionPtr revIDLastSave="0" documentId="13_ncr:1_{EDF0BF4D-48AA-438B-B9A2-72673299F9AC}" xr6:coauthVersionLast="47" xr6:coauthVersionMax="47" xr10:uidLastSave="{00000000-0000-0000-0000-000000000000}"/>
  <bookViews>
    <workbookView showHorizontalScroll="0" showVerticalScroll="0" xWindow="-120" yWindow="-120" windowWidth="38640" windowHeight="21120" activeTab="2" xr2:uid="{00000000-000D-0000-FFFF-FFFF00000000}"/>
  </bookViews>
  <sheets>
    <sheet name="Metro 2025-26" sheetId="7" r:id="rId1"/>
    <sheet name="Evasión" sheetId="10" r:id="rId2"/>
    <sheet name="Metro Tr tipo de tarifa 2010-25" sheetId="11" r:id="rId3"/>
    <sheet name="Numero de usuarios en Sistema" sheetId="14" r:id="rId4"/>
    <sheet name="Afluencia de pasajeros 1990-25" sheetId="12" r:id="rId5"/>
    <sheet name="Metro 2010-24" sheetId="8" r:id="rId6"/>
    <sheet name="Tarifas" sheetId="9" r:id="rId7"/>
    <sheet name="Total de viajes Sistema" sheetId="13" r:id="rId8"/>
  </sheets>
  <definedNames>
    <definedName name="_xlnm._FilterDatabase" localSheetId="0" hidden="1">'Metro 2025-26'!#REF!</definedName>
    <definedName name="_xlnm.Print_Area" localSheetId="0">'Metro 2025-26'!#REF!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11" l="1"/>
  <c r="S17" i="13"/>
  <c r="R17" i="13"/>
  <c r="Q17" i="13"/>
  <c r="P17" i="13"/>
  <c r="Z33" i="11"/>
  <c r="T33" i="11"/>
  <c r="H33" i="11"/>
  <c r="Z32" i="11"/>
  <c r="T32" i="11"/>
  <c r="H32" i="11"/>
  <c r="Z31" i="11"/>
  <c r="T31" i="11"/>
  <c r="H31" i="11"/>
  <c r="Z30" i="11"/>
  <c r="T30" i="11"/>
  <c r="H30" i="11"/>
  <c r="Z29" i="11"/>
  <c r="T29" i="11"/>
  <c r="H29" i="11"/>
  <c r="Z28" i="11"/>
  <c r="T28" i="11"/>
  <c r="H28" i="11"/>
  <c r="Z27" i="11"/>
  <c r="T27" i="11"/>
  <c r="H27" i="11"/>
  <c r="Z26" i="11"/>
  <c r="T26" i="11"/>
  <c r="H26" i="11"/>
  <c r="Z25" i="11"/>
  <c r="T25" i="11"/>
  <c r="H25" i="11"/>
  <c r="Z24" i="11"/>
  <c r="T24" i="11"/>
  <c r="H24" i="11"/>
  <c r="Z23" i="11"/>
  <c r="T23" i="11"/>
  <c r="H23" i="11"/>
  <c r="Z22" i="11"/>
  <c r="Z21" i="11" s="1"/>
  <c r="T22" i="11"/>
  <c r="T21" i="11" s="1"/>
  <c r="H22" i="11"/>
  <c r="H21" i="11" s="1"/>
  <c r="Y21" i="11"/>
  <c r="X21" i="11"/>
  <c r="W21" i="11"/>
  <c r="V21" i="11"/>
  <c r="S21" i="11"/>
  <c r="R21" i="11"/>
  <c r="Q21" i="11"/>
  <c r="P21" i="11"/>
  <c r="N21" i="11"/>
  <c r="M21" i="11"/>
  <c r="L21" i="11"/>
  <c r="K21" i="11"/>
  <c r="J21" i="11"/>
  <c r="G21" i="11"/>
  <c r="F21" i="11"/>
  <c r="E21" i="11"/>
  <c r="M13" i="10"/>
  <c r="L13" i="10"/>
</calcChain>
</file>

<file path=xl/sharedStrings.xml><?xml version="1.0" encoding="utf-8"?>
<sst xmlns="http://schemas.openxmlformats.org/spreadsheetml/2006/main" count="331" uniqueCount="106">
  <si>
    <t xml:space="preserve">   </t>
  </si>
  <si>
    <r>
      <t xml:space="preserve">Mes y año </t>
    </r>
    <r>
      <rPr>
        <vertAlign val="superscript"/>
        <sz val="8"/>
        <rFont val="Verdana"/>
        <family val="2"/>
      </rPr>
      <t>/P</t>
    </r>
  </si>
  <si>
    <t>Total Red</t>
  </si>
  <si>
    <t>Pasajeros comunes</t>
  </si>
  <si>
    <t xml:space="preserve">Escolares Total  </t>
  </si>
  <si>
    <r>
      <t>Escolares Pagados</t>
    </r>
    <r>
      <rPr>
        <vertAlign val="superscript"/>
        <sz val="8"/>
        <rFont val="Verdana"/>
        <family val="2"/>
      </rPr>
      <t>1</t>
    </r>
  </si>
  <si>
    <t>Escolares Básicos (Gratuitos)</t>
  </si>
  <si>
    <t>Total Linea 1</t>
  </si>
  <si>
    <t>Total Linea 2</t>
  </si>
  <si>
    <t>Total Linea 4</t>
  </si>
  <si>
    <t>Total Linea 4A</t>
  </si>
  <si>
    <t>Total Linea 5</t>
  </si>
  <si>
    <t>Total Linea 6</t>
  </si>
  <si>
    <t>Total Linea 3</t>
  </si>
  <si>
    <t xml:space="preserve">(1) La información de adulto mayor, se fusiona con escolares pagados a partir de octubre de 2007. </t>
  </si>
  <si>
    <t>P Cifras provisionales.</t>
  </si>
  <si>
    <t>Fuente: Metro S.A.</t>
  </si>
  <si>
    <t>Mes y año</t>
  </si>
  <si>
    <t xml:space="preserve">Nota1: a contar de noviembre del año 2017, comienza a operar la línea 6 de Metro de Santiago. </t>
  </si>
  <si>
    <t xml:space="preserve">Nota2: a contar de enero del año 2019, comienza a operar la línea 3 de Metro de Santiago. </t>
  </si>
  <si>
    <t>Fuente:Metro S.A.</t>
  </si>
  <si>
    <t>NÚMERO DE PASAJEROS TRANSPORTADOS EN METRO DE SANTIAGO, MENSUAL 2010-2024</t>
  </si>
  <si>
    <t>NÚMERO DE PASAJEROS TRANSPORTADOS EN METRO DE SANTIAGO, FEBRERO 2026</t>
  </si>
  <si>
    <t>Var.mensual: Feb. 2026/Ene. 2026</t>
  </si>
  <si>
    <t>Var.12 meses: Feb. 2026/Feb. 2025</t>
  </si>
  <si>
    <t>Var.acumulada: Ene.- Feb. 2026/Ene.- Feb. 2025</t>
  </si>
  <si>
    <t>Tabla A17 | Evolución de las tarifas | 2007 - 2025</t>
  </si>
  <si>
    <t>Mes</t>
  </si>
  <si>
    <t>Buses</t>
  </si>
  <si>
    <t>Metro / Tren Hora Punta</t>
  </si>
  <si>
    <t>Metro / Tren Hora Valle</t>
  </si>
  <si>
    <t>Metro / Tren Hora Baja</t>
  </si>
  <si>
    <t>Estudiantes Ed. Media/Superior</t>
  </si>
  <si>
    <t>Estudiantes Ed. Básica</t>
  </si>
  <si>
    <t>Adulto Mayor Intermodal</t>
  </si>
  <si>
    <t>$ 700</t>
  </si>
  <si>
    <t>$ 800</t>
  </si>
  <si>
    <t>$ 720</t>
  </si>
  <si>
    <t>$ 640</t>
  </si>
  <si>
    <t>$ 230</t>
  </si>
  <si>
    <t>$ 0</t>
  </si>
  <si>
    <t>$ 350</t>
  </si>
  <si>
    <t>$ 710</t>
  </si>
  <si>
    <t>$ 810</t>
  </si>
  <si>
    <t>$ 730</t>
  </si>
  <si>
    <t>$ 650</t>
  </si>
  <si>
    <t>(*) Tren Alameda-Nos comenzó su operación el 17 de marzo 2017.</t>
  </si>
  <si>
    <t>Tabla A24 | Evasión en buses | 2007 - 2025</t>
  </si>
  <si>
    <t>Fuente: Programa Nacional de Fiscalización, Ministerio de Transportes y Telecomunicaciones y Directorio de Transporte Público Metropolitano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</si>
  <si>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</si>
  <si>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</si>
  <si>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</si>
  <si>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</si>
  <si>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</si>
  <si>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</si>
  <si>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</si>
  <si>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</si>
  <si>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</si>
  <si>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</si>
  <si>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</si>
  <si>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</si>
  <si>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</si>
  <si>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</si>
  <si>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</si>
  <si>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</si>
  <si>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</si>
  <si>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</si>
  <si>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</si>
  <si>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</si>
  <si>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</si>
  <si>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sin medición</t>
  </si>
  <si>
    <t>2021*</t>
  </si>
  <si>
    <t>2022**</t>
  </si>
  <si>
    <t>2023**</t>
  </si>
  <si>
    <t>2024**</t>
  </si>
  <si>
    <t>2025**</t>
  </si>
  <si>
    <t>(*) Mediciones trimestrales</t>
  </si>
  <si>
    <t>(**) Mediciones Semestrales</t>
  </si>
  <si>
    <r>
      <rPr>
        <b/>
        <i/>
        <sz val="10"/>
        <color rgb="FF000000"/>
        <rFont val="Calibri"/>
        <family val="2"/>
        <scheme val="minor"/>
      </rPr>
      <t>Nota:</t>
    </r>
    <r>
      <rPr>
        <i/>
        <sz val="10"/>
        <color rgb="FF000000"/>
        <rFont val="Calibri"/>
        <family val="2"/>
        <scheme val="minor"/>
      </rPr>
      <t xml:space="preserve"> Considerar que los valores correspondientes a 2022 son medidos mediante la nueva metodología de medición de evasión llevada a cabo por DTPM, a diferencia de la metodología anterior que era llevada a cabo por el Programa Nacional de Fiscalización.</t>
    </r>
  </si>
  <si>
    <t xml:space="preserve">Queda pendiente indicador 2do semestre 2025. </t>
  </si>
  <si>
    <t>Tabla A19 | Transacciones según tipo de tarifa y modo de transporte | 2010 - 2025</t>
  </si>
  <si>
    <t>SISTEMA</t>
  </si>
  <si>
    <t>BUSES</t>
  </si>
  <si>
    <t>METRO</t>
  </si>
  <si>
    <t>METROTREN NOS</t>
  </si>
  <si>
    <t>Adulto</t>
  </si>
  <si>
    <t>Estudiante educación media o superior (*)</t>
  </si>
  <si>
    <t>Estudiante educación básica</t>
  </si>
  <si>
    <t>Adulto Mayor</t>
  </si>
  <si>
    <t>Total</t>
  </si>
  <si>
    <t>Subtotal Buses</t>
  </si>
  <si>
    <t>Subtotal Metro</t>
  </si>
  <si>
    <t>Subtotal Tren</t>
  </si>
  <si>
    <t>-</t>
  </si>
  <si>
    <t>(*) Hasta el 2019, la tarifa "Estudiante educación media o superior" incluye las transacciones correspondientes a boletos Edmonson y Tarjetas Adulto Mayor- Metro dado que estás tienen la misma tarifa de "Estudiante de educación media o superior". A partir del 2020 las transacciones de Adulto Mayor, se detallan de manera separada, sumando las transacciones de la tarjeta Adulto Mayor- Metro mas las realizadas con la nueva tarjeta Adulto Mayor-TAM, a partir del mes de julio.</t>
  </si>
  <si>
    <t>Tabla A18 | Afluencia de pasajeros en Metro, por línea (millones de viajes por año) | 1990 - 2025</t>
  </si>
  <si>
    <t>Línea1</t>
  </si>
  <si>
    <t>Línea 2</t>
  </si>
  <si>
    <t>Línea 3</t>
  </si>
  <si>
    <t>Línea 4</t>
  </si>
  <si>
    <t>Línea 4A</t>
  </si>
  <si>
    <t>Línea 5</t>
  </si>
  <si>
    <t>Línea 6</t>
  </si>
  <si>
    <t>Tabla A2 | Total viajes en el Sistema | 2009 - 2025</t>
  </si>
  <si>
    <t>Nota: 2024 y 2025 actualizado a 6 de enero 2026</t>
  </si>
  <si>
    <t>Tabla A1 | Número de usuarios que utilizan el Sistema | 2007 - 2025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</si>
</sst>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0.0"/>
    <numFmt numFmtId="165" formatCode="&quot;$&quot;\ #,##0"/>
    <numFmt numFmtId="166" formatCode="0.0%"/>
    <numFmt numFmtId="167" formatCode="_-* #,##0.00_-;\-* #,##0.00_-;_-* &quot;-&quot;??_-;_-@_-"/>
    <numFmt numFmtId="168" formatCode="_ * #,##0.00000_ ;_ * \-#,##0.00000_ ;_ * &quot;-&quot;??_ ;_ @_ "/>
    <numFmt numFmtId="169" formatCode="#,##0_ ;\-#,##0\ 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Verdana"/>
      <family val="2"/>
    </font>
    <font>
      <sz val="10"/>
      <name val="Times New Roman"/>
      <family val="1"/>
    </font>
    <font>
      <sz val="9"/>
      <name val="Verdana"/>
      <family val="2"/>
    </font>
    <font>
      <sz val="8"/>
      <name val="Verdana"/>
      <family val="2"/>
    </font>
    <font>
      <b/>
      <sz val="11"/>
      <name val="Verdana"/>
      <family val="2"/>
    </font>
    <font>
      <sz val="8"/>
      <color theme="1"/>
      <name val="Verdana"/>
      <family val="2"/>
    </font>
    <font>
      <sz val="10"/>
      <name val="Arial"/>
      <family val="2"/>
    </font>
    <font>
      <vertAlign val="superscript"/>
      <sz val="8"/>
      <name val="Verdana"/>
      <family val="2"/>
    </font>
    <font>
      <vertAlign val="superscript"/>
      <sz val="9"/>
      <name val="Times New Roman"/>
      <family val="1"/>
    </font>
    <font>
      <vertAlign val="superscript"/>
      <sz val="8"/>
      <name val="Times New Roman"/>
      <family val="1"/>
    </font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DE173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17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9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3" fontId="4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/>
    <xf numFmtId="0" fontId="6" fillId="0" borderId="2" xfId="0" quotePrefix="1" applyFont="1" applyBorder="1" applyAlignment="1">
      <alignment horizontal="left"/>
    </xf>
    <xf numFmtId="0" fontId="4" fillId="0" borderId="2" xfId="0" applyFont="1" applyBorder="1"/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quotePrefix="1" applyFont="1" applyAlignment="1">
      <alignment vertical="center"/>
    </xf>
    <xf numFmtId="17" fontId="6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2" fontId="11" fillId="0" borderId="0" xfId="0" applyNumberFormat="1" applyFont="1"/>
    <xf numFmtId="0" fontId="2" fillId="0" borderId="0" xfId="0" applyFont="1" applyAlignment="1">
      <alignment horizontal="left"/>
    </xf>
    <xf numFmtId="3" fontId="6" fillId="0" borderId="0" xfId="0" quotePrefix="1" applyNumberFormat="1" applyFont="1" applyAlignment="1">
      <alignment horizontal="left"/>
    </xf>
    <xf numFmtId="2" fontId="12" fillId="0" borderId="0" xfId="0" applyNumberFormat="1" applyFont="1"/>
    <xf numFmtId="2" fontId="10" fillId="0" borderId="0" xfId="0" applyNumberFormat="1" applyFont="1"/>
    <xf numFmtId="165" fontId="16" fillId="0" borderId="7" xfId="0" applyNumberFormat="1" applyFont="1" applyBorder="1" applyAlignment="1">
      <alignment horizontal="center"/>
    </xf>
    <xf numFmtId="0" fontId="17" fillId="0" borderId="0" xfId="0" applyFont="1"/>
    <xf numFmtId="0" fontId="14" fillId="2" borderId="7" xfId="0" applyFont="1" applyFill="1" applyBorder="1" applyAlignment="1">
      <alignment horizontal="center" vertical="center" wrapText="1"/>
    </xf>
    <xf numFmtId="17" fontId="16" fillId="0" borderId="7" xfId="0" applyNumberFormat="1" applyFont="1" applyBorder="1" applyAlignment="1">
      <alignment horizontal="center"/>
    </xf>
    <xf numFmtId="0" fontId="18" fillId="0" borderId="0" xfId="0" applyFont="1"/>
    <xf numFmtId="0" fontId="14" fillId="2" borderId="0" xfId="0" applyFont="1" applyFill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166" fontId="19" fillId="0" borderId="7" xfId="3" applyNumberFormat="1" applyFont="1" applyBorder="1" applyAlignment="1">
      <alignment horizontal="center" vertical="center"/>
    </xf>
    <xf numFmtId="166" fontId="19" fillId="0" borderId="7" xfId="3" applyNumberFormat="1" applyFont="1" applyBorder="1" applyAlignment="1">
      <alignment horizontal="center" vertical="center" wrapText="1"/>
    </xf>
    <xf numFmtId="166" fontId="19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66" fontId="19" fillId="3" borderId="7" xfId="3" applyNumberFormat="1" applyFont="1" applyFill="1" applyBorder="1" applyAlignment="1">
      <alignment horizontal="center" vertical="center" wrapText="1"/>
    </xf>
    <xf numFmtId="0" fontId="23" fillId="0" borderId="0" xfId="0" applyFont="1" applyProtection="1">
      <protection locked="0"/>
    </xf>
    <xf numFmtId="0" fontId="0" fillId="0" borderId="0" xfId="0" applyProtection="1">
      <protection locked="0"/>
    </xf>
    <xf numFmtId="0" fontId="15" fillId="0" borderId="0" xfId="0" applyFont="1" applyProtection="1">
      <protection locked="0"/>
    </xf>
    <xf numFmtId="0" fontId="24" fillId="2" borderId="7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Protection="1">
      <protection locked="0"/>
    </xf>
    <xf numFmtId="0" fontId="24" fillId="2" borderId="7" xfId="0" applyFont="1" applyFill="1" applyBorder="1" applyAlignment="1">
      <alignment horizontal="center" vertical="center" wrapText="1"/>
    </xf>
    <xf numFmtId="0" fontId="16" fillId="0" borderId="0" xfId="0" applyFont="1"/>
    <xf numFmtId="0" fontId="24" fillId="2" borderId="7" xfId="0" applyFont="1" applyFill="1" applyBorder="1" applyAlignment="1" applyProtection="1">
      <alignment horizontal="center" vertical="center"/>
      <protection locked="0"/>
    </xf>
    <xf numFmtId="0" fontId="16" fillId="4" borderId="0" xfId="0" applyFont="1" applyFill="1"/>
    <xf numFmtId="0" fontId="25" fillId="0" borderId="7" xfId="0" applyFont="1" applyBorder="1" applyAlignment="1" applyProtection="1">
      <alignment horizontal="center"/>
      <protection locked="0"/>
    </xf>
    <xf numFmtId="3" fontId="16" fillId="0" borderId="7" xfId="0" applyNumberFormat="1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/>
      <protection locked="0"/>
    </xf>
    <xf numFmtId="3" fontId="16" fillId="0" borderId="8" xfId="0" applyNumberFormat="1" applyFont="1" applyBorder="1" applyAlignment="1" applyProtection="1">
      <alignment horizontal="center" vertical="center"/>
      <protection locked="0"/>
    </xf>
    <xf numFmtId="3" fontId="26" fillId="0" borderId="8" xfId="4" applyNumberFormat="1" applyFont="1" applyFill="1" applyBorder="1" applyAlignment="1" applyProtection="1">
      <alignment horizontal="center"/>
      <protection locked="0"/>
    </xf>
    <xf numFmtId="3" fontId="26" fillId="0" borderId="8" xfId="0" applyNumberFormat="1" applyFont="1" applyBorder="1" applyAlignment="1" applyProtection="1">
      <alignment horizontal="center" vertical="center"/>
      <protection locked="0"/>
    </xf>
    <xf numFmtId="3" fontId="16" fillId="0" borderId="8" xfId="4" applyNumberFormat="1" applyFont="1" applyFill="1" applyBorder="1" applyAlignment="1" applyProtection="1">
      <alignment horizontal="center"/>
      <protection locked="0"/>
    </xf>
    <xf numFmtId="3" fontId="26" fillId="0" borderId="7" xfId="4" applyNumberFormat="1" applyFont="1" applyFill="1" applyBorder="1" applyAlignment="1" applyProtection="1">
      <alignment horizontal="center"/>
      <protection locked="0"/>
    </xf>
    <xf numFmtId="3" fontId="16" fillId="0" borderId="7" xfId="0" applyNumberFormat="1" applyFont="1" applyBorder="1" applyAlignment="1">
      <alignment horizontal="center"/>
    </xf>
    <xf numFmtId="0" fontId="27" fillId="0" borderId="9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29" fillId="0" borderId="0" xfId="0" applyFont="1"/>
    <xf numFmtId="0" fontId="28" fillId="0" borderId="0" xfId="0" applyFont="1"/>
    <xf numFmtId="3" fontId="27" fillId="0" borderId="8" xfId="4" applyNumberFormat="1" applyFont="1" applyFill="1" applyBorder="1" applyAlignment="1" applyProtection="1">
      <alignment horizontal="center"/>
      <protection locked="0"/>
    </xf>
    <xf numFmtId="17" fontId="26" fillId="0" borderId="9" xfId="0" applyNumberFormat="1" applyFont="1" applyBorder="1" applyAlignment="1">
      <alignment horizontal="center" vertical="center"/>
    </xf>
    <xf numFmtId="3" fontId="30" fillId="0" borderId="7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0" borderId="9" xfId="0" applyNumberFormat="1" applyFont="1" applyBorder="1" applyAlignment="1">
      <alignment horizontal="center" vertical="center"/>
    </xf>
    <xf numFmtId="166" fontId="0" fillId="0" borderId="0" xfId="3" applyNumberFormat="1" applyFont="1"/>
    <xf numFmtId="167" fontId="16" fillId="0" borderId="0" xfId="4" applyFont="1" applyAlignment="1">
      <alignment horizontal="center"/>
    </xf>
    <xf numFmtId="167" fontId="16" fillId="0" borderId="0" xfId="4" applyFont="1"/>
    <xf numFmtId="0" fontId="14" fillId="2" borderId="7" xfId="0" applyFont="1" applyFill="1" applyBorder="1" applyAlignment="1">
      <alignment horizontal="center" vertical="center"/>
    </xf>
    <xf numFmtId="167" fontId="14" fillId="2" borderId="7" xfId="4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2" fontId="16" fillId="0" borderId="7" xfId="4" applyNumberFormat="1" applyFont="1" applyBorder="1" applyAlignment="1">
      <alignment horizontal="center"/>
    </xf>
    <xf numFmtId="2" fontId="25" fillId="0" borderId="7" xfId="4" applyNumberFormat="1" applyFont="1" applyBorder="1" applyAlignment="1">
      <alignment horizontal="center"/>
    </xf>
    <xf numFmtId="4" fontId="31" fillId="0" borderId="7" xfId="0" applyNumberFormat="1" applyFont="1" applyBorder="1" applyAlignment="1">
      <alignment horizontal="center" vertical="center"/>
    </xf>
    <xf numFmtId="2" fontId="32" fillId="0" borderId="7" xfId="0" applyNumberFormat="1" applyFont="1" applyBorder="1" applyAlignment="1">
      <alignment horizontal="center" vertical="center"/>
    </xf>
    <xf numFmtId="4" fontId="16" fillId="0" borderId="7" xfId="4" applyNumberFormat="1" applyFont="1" applyBorder="1" applyAlignment="1">
      <alignment horizontal="center"/>
    </xf>
    <xf numFmtId="4" fontId="32" fillId="0" borderId="7" xfId="0" applyNumberFormat="1" applyFont="1" applyBorder="1" applyAlignment="1">
      <alignment horizontal="center" vertical="center"/>
    </xf>
    <xf numFmtId="4" fontId="16" fillId="0" borderId="7" xfId="4" applyNumberFormat="1" applyFont="1" applyFill="1" applyBorder="1" applyAlignment="1">
      <alignment horizontal="center"/>
    </xf>
    <xf numFmtId="41" fontId="0" fillId="0" borderId="0" xfId="2" applyFont="1"/>
    <xf numFmtId="10" fontId="0" fillId="0" borderId="0" xfId="3" applyNumberFormat="1" applyFont="1" applyFill="1"/>
    <xf numFmtId="168" fontId="0" fillId="0" borderId="0" xfId="0" applyNumberFormat="1"/>
    <xf numFmtId="0" fontId="14" fillId="2" borderId="7" xfId="4" applyNumberFormat="1" applyFont="1" applyFill="1" applyBorder="1" applyAlignment="1">
      <alignment horizontal="center"/>
    </xf>
    <xf numFmtId="17" fontId="19" fillId="0" borderId="7" xfId="0" applyNumberFormat="1" applyFont="1" applyBorder="1" applyAlignment="1">
      <alignment horizontal="left"/>
    </xf>
    <xf numFmtId="3" fontId="16" fillId="0" borderId="7" xfId="4" applyNumberFormat="1" applyFont="1" applyBorder="1" applyAlignment="1">
      <alignment horizontal="center" vertical="center"/>
    </xf>
    <xf numFmtId="3" fontId="16" fillId="0" borderId="7" xfId="4" applyNumberFormat="1" applyFont="1" applyBorder="1" applyAlignment="1" applyProtection="1">
      <alignment horizontal="center" vertical="center"/>
      <protection locked="0"/>
    </xf>
    <xf numFmtId="3" fontId="31" fillId="0" borderId="7" xfId="0" applyNumberFormat="1" applyFont="1" applyBorder="1" applyAlignment="1">
      <alignment horizontal="center" vertical="center"/>
    </xf>
    <xf numFmtId="17" fontId="20" fillId="0" borderId="7" xfId="0" applyNumberFormat="1" applyFont="1" applyBorder="1" applyAlignment="1">
      <alignment horizontal="left"/>
    </xf>
    <xf numFmtId="169" fontId="25" fillId="0" borderId="7" xfId="4" applyNumberFormat="1" applyFont="1" applyBorder="1" applyAlignment="1">
      <alignment horizontal="center" vertical="center"/>
    </xf>
    <xf numFmtId="169" fontId="25" fillId="0" borderId="7" xfId="4" applyNumberFormat="1" applyFont="1" applyFill="1" applyBorder="1" applyAlignment="1">
      <alignment horizontal="center" vertical="center"/>
    </xf>
    <xf numFmtId="3" fontId="0" fillId="0" borderId="0" xfId="0" applyNumberFormat="1"/>
    <xf numFmtId="0" fontId="1" fillId="0" borderId="0" xfId="0" applyFont="1"/>
    <xf numFmtId="0" fontId="33" fillId="0" borderId="0" xfId="5" applyAlignment="1" applyProtection="1">
      <alignment horizontal="center"/>
    </xf>
    <xf numFmtId="0" fontId="24" fillId="2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3" fontId="16" fillId="0" borderId="10" xfId="4" applyNumberFormat="1" applyFont="1" applyBorder="1" applyAlignment="1">
      <alignment horizontal="center" vertical="center"/>
    </xf>
    <xf numFmtId="3" fontId="19" fillId="0" borderId="10" xfId="0" applyNumberFormat="1" applyFont="1" applyBorder="1" applyAlignment="1">
      <alignment horizontal="center"/>
    </xf>
    <xf numFmtId="3" fontId="1" fillId="0" borderId="0" xfId="0" applyNumberFormat="1" applyFont="1"/>
    <xf numFmtId="10" fontId="1" fillId="0" borderId="0" xfId="3" applyNumberFormat="1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14" fillId="2" borderId="3" xfId="0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</cellXfs>
  <cellStyles count="6">
    <cellStyle name="Hipervínculo" xfId="5" builtinId="8"/>
    <cellStyle name="Millares [0]" xfId="2" builtinId="6"/>
    <cellStyle name="Millares 2" xfId="4" xr:uid="{B71245B2-3903-4040-B1F6-E3AEDE6E7309}"/>
    <cellStyle name="Normal" xfId="0" builtinId="0"/>
    <cellStyle name="Normal 2" xfId="1" xr:uid="{00000000-0005-0000-0000-000001000000}"/>
    <cellStyle name="Porcentaje" xfId="3" builtinId="5"/>
  </cellStyles>
  <dxfs count="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topLeftCell="B1" zoomScaleNormal="100" workbookViewId="0">
      <selection activeCell="C52" sqref="C52"/>
    </sheetView>
  </sheetViews>
  <sheetFormatPr baseColWidth="10" defaultColWidth="11.42578125" defaultRowHeight="12.75" x14ac:dyDescent="0.2"/>
  <cols>
    <col min="1" max="1" width="2.5703125" style="2" customWidth="1"/>
    <col min="2" max="2" width="33" style="2" customWidth="1"/>
    <col min="3" max="3" width="12.7109375" style="2" customWidth="1"/>
    <col min="4" max="5" width="12.7109375" style="4" customWidth="1"/>
    <col min="6" max="6" width="14.28515625" style="4" customWidth="1"/>
    <col min="7" max="32" width="12.7109375" style="4" customWidth="1"/>
    <col min="33" max="42" width="12.7109375" style="2" customWidth="1"/>
    <col min="43" max="16384" width="11.42578125" style="2"/>
  </cols>
  <sheetData>
    <row r="1" spans="1:42" s="1" customFormat="1" ht="15.75" customHeight="1" x14ac:dyDescent="0.2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</row>
    <row r="2" spans="1:42" s="1" customFormat="1" ht="27.6" customHeight="1" x14ac:dyDescent="0.2">
      <c r="B2" s="25" t="s">
        <v>22</v>
      </c>
      <c r="C2" s="25"/>
      <c r="D2" s="25"/>
      <c r="E2" s="25"/>
      <c r="F2" s="25"/>
      <c r="G2" s="2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42" ht="14.25" customHeight="1" x14ac:dyDescent="0.2">
      <c r="B3" s="7"/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6"/>
      <c r="W3" s="6"/>
      <c r="X3" s="3"/>
      <c r="Y3" s="3"/>
      <c r="Z3" s="3"/>
      <c r="AA3" s="3"/>
      <c r="AB3" s="3"/>
      <c r="AC3" s="3"/>
      <c r="AD3" s="3"/>
      <c r="AE3" s="3"/>
      <c r="AF3" s="3"/>
    </row>
    <row r="4" spans="1:42" ht="40.5" customHeight="1" x14ac:dyDescent="0.2">
      <c r="B4" s="24" t="s">
        <v>1</v>
      </c>
      <c r="C4" s="13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3" t="s">
        <v>7</v>
      </c>
      <c r="I4" s="14" t="s">
        <v>3</v>
      </c>
      <c r="J4" s="14" t="s">
        <v>4</v>
      </c>
      <c r="K4" s="14" t="s">
        <v>5</v>
      </c>
      <c r="L4" s="14" t="s">
        <v>6</v>
      </c>
      <c r="M4" s="13" t="s">
        <v>8</v>
      </c>
      <c r="N4" s="15" t="s">
        <v>3</v>
      </c>
      <c r="O4" s="14" t="s">
        <v>4</v>
      </c>
      <c r="P4" s="14" t="s">
        <v>5</v>
      </c>
      <c r="Q4" s="14" t="s">
        <v>6</v>
      </c>
      <c r="R4" s="13" t="s">
        <v>9</v>
      </c>
      <c r="S4" s="14" t="s">
        <v>3</v>
      </c>
      <c r="T4" s="14" t="s">
        <v>4</v>
      </c>
      <c r="U4" s="14" t="s">
        <v>5</v>
      </c>
      <c r="V4" s="14" t="s">
        <v>6</v>
      </c>
      <c r="W4" s="13" t="s">
        <v>10</v>
      </c>
      <c r="X4" s="14" t="s">
        <v>3</v>
      </c>
      <c r="Y4" s="14" t="s">
        <v>4</v>
      </c>
      <c r="Z4" s="14" t="s">
        <v>5</v>
      </c>
      <c r="AA4" s="14" t="s">
        <v>6</v>
      </c>
      <c r="AB4" s="13" t="s">
        <v>11</v>
      </c>
      <c r="AC4" s="14" t="s">
        <v>3</v>
      </c>
      <c r="AD4" s="14" t="s">
        <v>4</v>
      </c>
      <c r="AE4" s="14" t="s">
        <v>5</v>
      </c>
      <c r="AF4" s="14" t="s">
        <v>6</v>
      </c>
      <c r="AG4" s="13" t="s">
        <v>12</v>
      </c>
      <c r="AH4" s="15" t="s">
        <v>3</v>
      </c>
      <c r="AI4" s="15" t="s">
        <v>4</v>
      </c>
      <c r="AJ4" s="15" t="s">
        <v>5</v>
      </c>
      <c r="AK4" s="31" t="s">
        <v>6</v>
      </c>
      <c r="AL4" s="13" t="s">
        <v>13</v>
      </c>
      <c r="AM4" s="15" t="s">
        <v>3</v>
      </c>
      <c r="AN4" s="15" t="s">
        <v>4</v>
      </c>
      <c r="AO4" s="15" t="s">
        <v>5</v>
      </c>
      <c r="AP4" s="15" t="s">
        <v>6</v>
      </c>
    </row>
    <row r="5" spans="1:42" ht="13.5" customHeight="1" x14ac:dyDescent="0.2">
      <c r="A5" s="40"/>
      <c r="B5" s="26">
        <v>45658</v>
      </c>
      <c r="C5" s="16">
        <v>47964875</v>
      </c>
      <c r="D5" s="16">
        <v>32906239</v>
      </c>
      <c r="E5" s="16">
        <v>15058636</v>
      </c>
      <c r="F5" s="16">
        <v>12626092</v>
      </c>
      <c r="G5" s="16">
        <v>2432544</v>
      </c>
      <c r="H5" s="16">
        <v>16329314</v>
      </c>
      <c r="I5" s="16">
        <v>11683252</v>
      </c>
      <c r="J5" s="16">
        <v>4646062</v>
      </c>
      <c r="K5" s="16">
        <v>3952856</v>
      </c>
      <c r="L5" s="16">
        <v>693206</v>
      </c>
      <c r="M5" s="16">
        <v>6974547</v>
      </c>
      <c r="N5" s="16">
        <v>4667302</v>
      </c>
      <c r="O5" s="16">
        <v>2307245</v>
      </c>
      <c r="P5" s="16">
        <v>1892128</v>
      </c>
      <c r="Q5" s="16">
        <v>415117</v>
      </c>
      <c r="R5" s="16">
        <v>7156092</v>
      </c>
      <c r="S5" s="16">
        <v>4590254</v>
      </c>
      <c r="T5" s="16">
        <v>2565838</v>
      </c>
      <c r="U5" s="16">
        <v>2143065</v>
      </c>
      <c r="V5" s="16">
        <v>422773</v>
      </c>
      <c r="W5" s="16">
        <v>1059229</v>
      </c>
      <c r="X5" s="16">
        <v>653148</v>
      </c>
      <c r="Y5" s="16">
        <v>406081</v>
      </c>
      <c r="Z5" s="16">
        <v>318727</v>
      </c>
      <c r="AA5" s="16">
        <v>87354</v>
      </c>
      <c r="AB5" s="16">
        <v>7964299</v>
      </c>
      <c r="AC5" s="16">
        <v>5330092</v>
      </c>
      <c r="AD5" s="16">
        <v>2634207</v>
      </c>
      <c r="AE5" s="16">
        <v>2211796</v>
      </c>
      <c r="AF5" s="16">
        <v>422411</v>
      </c>
      <c r="AG5" s="16">
        <v>2964662</v>
      </c>
      <c r="AH5" s="16">
        <v>2070005</v>
      </c>
      <c r="AI5" s="16">
        <v>894657</v>
      </c>
      <c r="AJ5" s="16">
        <v>752902</v>
      </c>
      <c r="AK5" s="16">
        <v>141755</v>
      </c>
      <c r="AL5" s="16">
        <v>5516732</v>
      </c>
      <c r="AM5" s="16">
        <v>3912186</v>
      </c>
      <c r="AN5" s="16">
        <v>1604546</v>
      </c>
      <c r="AO5" s="16">
        <v>1354618</v>
      </c>
      <c r="AP5" s="16">
        <v>249928</v>
      </c>
    </row>
    <row r="6" spans="1:42" ht="13.5" customHeight="1" x14ac:dyDescent="0.2">
      <c r="A6" s="40"/>
      <c r="B6" s="26">
        <v>45689</v>
      </c>
      <c r="C6" s="16">
        <v>39279544</v>
      </c>
      <c r="D6" s="16">
        <v>27303101</v>
      </c>
      <c r="E6" s="16">
        <v>11976443</v>
      </c>
      <c r="F6" s="16">
        <v>9960438</v>
      </c>
      <c r="G6" s="16">
        <v>2016005</v>
      </c>
      <c r="H6" s="16">
        <v>13243022</v>
      </c>
      <c r="I6" s="16">
        <v>9606044</v>
      </c>
      <c r="J6" s="16">
        <v>3636978</v>
      </c>
      <c r="K6" s="16">
        <v>3065658</v>
      </c>
      <c r="L6" s="16">
        <v>571320</v>
      </c>
      <c r="M6" s="16">
        <v>5940650</v>
      </c>
      <c r="N6" s="16">
        <v>4031751</v>
      </c>
      <c r="O6" s="16">
        <v>1908899</v>
      </c>
      <c r="P6" s="16">
        <v>1555566</v>
      </c>
      <c r="Q6" s="16">
        <v>353333</v>
      </c>
      <c r="R6" s="16">
        <v>5746504</v>
      </c>
      <c r="S6" s="16">
        <v>3711298</v>
      </c>
      <c r="T6" s="16">
        <v>2035206</v>
      </c>
      <c r="U6" s="16">
        <v>1690990</v>
      </c>
      <c r="V6" s="16">
        <v>344216</v>
      </c>
      <c r="W6" s="16">
        <v>876109</v>
      </c>
      <c r="X6" s="16">
        <v>546955</v>
      </c>
      <c r="Y6" s="16">
        <v>329154</v>
      </c>
      <c r="Z6" s="16">
        <v>256713</v>
      </c>
      <c r="AA6" s="16">
        <v>72441</v>
      </c>
      <c r="AB6" s="16">
        <v>6481381</v>
      </c>
      <c r="AC6" s="16">
        <v>4409459</v>
      </c>
      <c r="AD6" s="16">
        <v>2071922</v>
      </c>
      <c r="AE6" s="16">
        <v>1722978</v>
      </c>
      <c r="AF6" s="16">
        <v>348944</v>
      </c>
      <c r="AG6" s="16">
        <v>2456295</v>
      </c>
      <c r="AH6" s="16">
        <v>1735012</v>
      </c>
      <c r="AI6" s="16">
        <v>721283</v>
      </c>
      <c r="AJ6" s="16">
        <v>603906</v>
      </c>
      <c r="AK6" s="16">
        <v>117377</v>
      </c>
      <c r="AL6" s="16">
        <v>4535583</v>
      </c>
      <c r="AM6" s="16">
        <v>3262582</v>
      </c>
      <c r="AN6" s="16">
        <v>1273001</v>
      </c>
      <c r="AO6" s="16">
        <v>1064627</v>
      </c>
      <c r="AP6" s="16">
        <v>208374</v>
      </c>
    </row>
    <row r="7" spans="1:42" ht="13.5" customHeight="1" x14ac:dyDescent="0.2">
      <c r="A7" s="40"/>
      <c r="B7" s="26">
        <v>45717</v>
      </c>
      <c r="C7" s="16">
        <v>57878657</v>
      </c>
      <c r="D7" s="16">
        <v>37071735</v>
      </c>
      <c r="E7" s="16">
        <v>20806922</v>
      </c>
      <c r="F7" s="16">
        <v>17903390</v>
      </c>
      <c r="G7" s="16">
        <v>2903532</v>
      </c>
      <c r="H7" s="16">
        <v>19915524</v>
      </c>
      <c r="I7" s="16">
        <v>13114881</v>
      </c>
      <c r="J7" s="16">
        <v>6800643</v>
      </c>
      <c r="K7" s="16">
        <v>5976682</v>
      </c>
      <c r="L7" s="16">
        <v>823961</v>
      </c>
      <c r="M7" s="16">
        <v>8504457</v>
      </c>
      <c r="N7" s="16">
        <v>5324710</v>
      </c>
      <c r="O7" s="16">
        <v>3179747</v>
      </c>
      <c r="P7" s="16">
        <v>2654649</v>
      </c>
      <c r="Q7" s="16">
        <v>525098</v>
      </c>
      <c r="R7" s="16">
        <v>8309090</v>
      </c>
      <c r="S7" s="16">
        <v>5105099</v>
      </c>
      <c r="T7" s="16">
        <v>3203991</v>
      </c>
      <c r="U7" s="16">
        <v>2730713</v>
      </c>
      <c r="V7" s="16">
        <v>473278</v>
      </c>
      <c r="W7" s="16">
        <v>1240280</v>
      </c>
      <c r="X7" s="16">
        <v>726327</v>
      </c>
      <c r="Y7" s="16">
        <v>513953</v>
      </c>
      <c r="Z7" s="16">
        <v>414126</v>
      </c>
      <c r="AA7" s="16">
        <v>99827</v>
      </c>
      <c r="AB7" s="16">
        <v>9718649</v>
      </c>
      <c r="AC7" s="16">
        <v>6005202</v>
      </c>
      <c r="AD7" s="16">
        <v>3713447</v>
      </c>
      <c r="AE7" s="16">
        <v>3206290</v>
      </c>
      <c r="AF7" s="16">
        <v>507157</v>
      </c>
      <c r="AG7" s="16">
        <v>3720557</v>
      </c>
      <c r="AH7" s="16">
        <v>2430402</v>
      </c>
      <c r="AI7" s="16">
        <v>1290155</v>
      </c>
      <c r="AJ7" s="16">
        <v>1119091</v>
      </c>
      <c r="AK7" s="16">
        <v>171064</v>
      </c>
      <c r="AL7" s="16">
        <v>6470100</v>
      </c>
      <c r="AM7" s="16">
        <v>4365114</v>
      </c>
      <c r="AN7" s="16">
        <v>2104986</v>
      </c>
      <c r="AO7" s="16">
        <v>1801839</v>
      </c>
      <c r="AP7" s="16">
        <v>303147</v>
      </c>
    </row>
    <row r="8" spans="1:42" ht="13.5" customHeight="1" x14ac:dyDescent="0.2">
      <c r="A8" s="37"/>
      <c r="B8" s="26">
        <v>45748</v>
      </c>
      <c r="C8" s="16">
        <v>58505759</v>
      </c>
      <c r="D8" s="16">
        <v>36674511</v>
      </c>
      <c r="E8" s="16">
        <v>21831248</v>
      </c>
      <c r="F8" s="16">
        <v>18898863</v>
      </c>
      <c r="G8" s="16">
        <v>2932385</v>
      </c>
      <c r="H8" s="16">
        <v>20076317</v>
      </c>
      <c r="I8" s="16">
        <v>12920427</v>
      </c>
      <c r="J8" s="16">
        <v>7155890</v>
      </c>
      <c r="K8" s="16">
        <v>6321346</v>
      </c>
      <c r="L8" s="16">
        <v>834544</v>
      </c>
      <c r="M8" s="16">
        <v>8595715</v>
      </c>
      <c r="N8" s="16">
        <v>5251814</v>
      </c>
      <c r="O8" s="16">
        <v>3343901</v>
      </c>
      <c r="P8" s="16">
        <v>2815986</v>
      </c>
      <c r="Q8" s="16">
        <v>527915</v>
      </c>
      <c r="R8" s="16">
        <v>8403982</v>
      </c>
      <c r="S8" s="16">
        <v>5082490</v>
      </c>
      <c r="T8" s="16">
        <v>3321492</v>
      </c>
      <c r="U8" s="16">
        <v>2846522</v>
      </c>
      <c r="V8" s="16">
        <v>474970</v>
      </c>
      <c r="W8" s="16">
        <v>1258255</v>
      </c>
      <c r="X8" s="16">
        <v>720298</v>
      </c>
      <c r="Y8" s="16">
        <v>537957</v>
      </c>
      <c r="Z8" s="16">
        <v>436771</v>
      </c>
      <c r="AA8" s="16">
        <v>101186</v>
      </c>
      <c r="AB8" s="16">
        <v>9739602</v>
      </c>
      <c r="AC8" s="16">
        <v>5912095</v>
      </c>
      <c r="AD8" s="16">
        <v>3827507</v>
      </c>
      <c r="AE8" s="16">
        <v>3317986</v>
      </c>
      <c r="AF8" s="16">
        <v>509521</v>
      </c>
      <c r="AG8" s="16">
        <v>3768424</v>
      </c>
      <c r="AH8" s="16">
        <v>2402152</v>
      </c>
      <c r="AI8" s="16">
        <v>1366272</v>
      </c>
      <c r="AJ8" s="16">
        <v>1192031</v>
      </c>
      <c r="AK8" s="16">
        <v>174241</v>
      </c>
      <c r="AL8" s="16">
        <v>6663464</v>
      </c>
      <c r="AM8" s="16">
        <v>4385235</v>
      </c>
      <c r="AN8" s="16">
        <v>2278229</v>
      </c>
      <c r="AO8" s="16">
        <v>1968221</v>
      </c>
      <c r="AP8" s="16">
        <v>310008</v>
      </c>
    </row>
    <row r="9" spans="1:42" ht="13.5" customHeight="1" x14ac:dyDescent="0.2">
      <c r="A9" s="40"/>
      <c r="B9" s="26">
        <v>45778</v>
      </c>
      <c r="C9" s="16">
        <v>57760618</v>
      </c>
      <c r="D9" s="16">
        <v>35914183</v>
      </c>
      <c r="E9" s="16">
        <v>21846435</v>
      </c>
      <c r="F9" s="16">
        <v>18969112</v>
      </c>
      <c r="G9" s="16">
        <v>2877323</v>
      </c>
      <c r="H9" s="16">
        <v>19675353</v>
      </c>
      <c r="I9" s="16">
        <v>12587032</v>
      </c>
      <c r="J9" s="16">
        <v>7088321</v>
      </c>
      <c r="K9" s="16">
        <v>6270627</v>
      </c>
      <c r="L9" s="16">
        <v>817694</v>
      </c>
      <c r="M9" s="16">
        <v>8453026</v>
      </c>
      <c r="N9" s="16">
        <v>5150868</v>
      </c>
      <c r="O9" s="16">
        <v>3302158</v>
      </c>
      <c r="P9" s="16">
        <v>2787628</v>
      </c>
      <c r="Q9" s="16">
        <v>514530</v>
      </c>
      <c r="R9" s="16">
        <v>8274868</v>
      </c>
      <c r="S9" s="16">
        <v>4949841</v>
      </c>
      <c r="T9" s="16">
        <v>3325027</v>
      </c>
      <c r="U9" s="16">
        <v>2861772</v>
      </c>
      <c r="V9" s="16">
        <v>463255</v>
      </c>
      <c r="W9" s="16">
        <v>1246886</v>
      </c>
      <c r="X9" s="16">
        <v>710846</v>
      </c>
      <c r="Y9" s="16">
        <v>536040</v>
      </c>
      <c r="Z9" s="16">
        <v>437225</v>
      </c>
      <c r="AA9" s="16">
        <v>98815</v>
      </c>
      <c r="AB9" s="16">
        <v>9761185</v>
      </c>
      <c r="AC9" s="16">
        <v>5819335</v>
      </c>
      <c r="AD9" s="16">
        <v>3941850</v>
      </c>
      <c r="AE9" s="16">
        <v>3434490</v>
      </c>
      <c r="AF9" s="16">
        <v>507360</v>
      </c>
      <c r="AG9" s="16">
        <v>3729962</v>
      </c>
      <c r="AH9" s="16">
        <v>2359808</v>
      </c>
      <c r="AI9" s="16">
        <v>1370154</v>
      </c>
      <c r="AJ9" s="16">
        <v>1199523</v>
      </c>
      <c r="AK9" s="16">
        <v>170631</v>
      </c>
      <c r="AL9" s="16">
        <v>6619338</v>
      </c>
      <c r="AM9" s="16">
        <v>4336453</v>
      </c>
      <c r="AN9" s="16">
        <v>2282885</v>
      </c>
      <c r="AO9" s="16">
        <v>1977847</v>
      </c>
      <c r="AP9" s="16">
        <v>305038</v>
      </c>
    </row>
    <row r="10" spans="1:42" ht="13.5" customHeight="1" x14ac:dyDescent="0.2">
      <c r="A10" s="40"/>
      <c r="B10" s="26">
        <v>45809</v>
      </c>
      <c r="C10" s="16">
        <v>55028487</v>
      </c>
      <c r="D10" s="16">
        <v>36670343</v>
      </c>
      <c r="E10" s="16">
        <v>18358144</v>
      </c>
      <c r="F10" s="16">
        <v>16326293</v>
      </c>
      <c r="G10" s="16">
        <v>2031851</v>
      </c>
      <c r="H10" s="16">
        <v>18872991</v>
      </c>
      <c r="I10" s="16">
        <v>12816003</v>
      </c>
      <c r="J10" s="16">
        <v>6056988</v>
      </c>
      <c r="K10" s="16">
        <v>5466192</v>
      </c>
      <c r="L10" s="16">
        <v>590796</v>
      </c>
      <c r="M10" s="16">
        <v>7976399</v>
      </c>
      <c r="N10" s="16">
        <v>5242026</v>
      </c>
      <c r="O10" s="16">
        <v>2734373</v>
      </c>
      <c r="P10" s="16">
        <v>2385636</v>
      </c>
      <c r="Q10" s="16">
        <v>348737</v>
      </c>
      <c r="R10" s="16">
        <v>7934231</v>
      </c>
      <c r="S10" s="16">
        <v>5154930</v>
      </c>
      <c r="T10" s="16">
        <v>2779301</v>
      </c>
      <c r="U10" s="16">
        <v>2442740</v>
      </c>
      <c r="V10" s="16">
        <v>336561</v>
      </c>
      <c r="W10" s="16">
        <v>1184681</v>
      </c>
      <c r="X10" s="16">
        <v>741343</v>
      </c>
      <c r="Y10" s="16">
        <v>443338</v>
      </c>
      <c r="Z10" s="16">
        <v>372529</v>
      </c>
      <c r="AA10" s="16">
        <v>70809</v>
      </c>
      <c r="AB10" s="16">
        <v>9266323</v>
      </c>
      <c r="AC10" s="16">
        <v>5985529</v>
      </c>
      <c r="AD10" s="16">
        <v>3280794</v>
      </c>
      <c r="AE10" s="16">
        <v>2929791</v>
      </c>
      <c r="AF10" s="16">
        <v>351003</v>
      </c>
      <c r="AG10" s="16">
        <v>3520199</v>
      </c>
      <c r="AH10" s="16">
        <v>2366635</v>
      </c>
      <c r="AI10" s="16">
        <v>1153564</v>
      </c>
      <c r="AJ10" s="16">
        <v>1031139</v>
      </c>
      <c r="AK10" s="16">
        <v>122425</v>
      </c>
      <c r="AL10" s="16">
        <v>6273663</v>
      </c>
      <c r="AM10" s="16">
        <v>4363877</v>
      </c>
      <c r="AN10" s="16">
        <v>1909786</v>
      </c>
      <c r="AO10" s="16">
        <v>1698266</v>
      </c>
      <c r="AP10" s="16">
        <v>211520</v>
      </c>
    </row>
    <row r="11" spans="1:42" ht="13.5" customHeight="1" x14ac:dyDescent="0.2">
      <c r="A11" s="40"/>
      <c r="B11" s="26">
        <v>45839</v>
      </c>
      <c r="C11" s="16">
        <v>56419492</v>
      </c>
      <c r="D11" s="16">
        <v>38188728</v>
      </c>
      <c r="E11" s="16">
        <v>18230764</v>
      </c>
      <c r="F11" s="16">
        <v>15658621</v>
      </c>
      <c r="G11" s="16">
        <v>2572143</v>
      </c>
      <c r="H11" s="16">
        <v>18918894</v>
      </c>
      <c r="I11" s="16">
        <v>13331565</v>
      </c>
      <c r="J11" s="16">
        <v>5587329</v>
      </c>
      <c r="K11" s="16">
        <v>4875542</v>
      </c>
      <c r="L11" s="16">
        <v>711787</v>
      </c>
      <c r="M11" s="16">
        <v>8363719</v>
      </c>
      <c r="N11" s="16">
        <v>5459717</v>
      </c>
      <c r="O11" s="16">
        <v>2904002</v>
      </c>
      <c r="P11" s="16">
        <v>2442521</v>
      </c>
      <c r="Q11" s="16">
        <v>461481</v>
      </c>
      <c r="R11" s="16">
        <v>8296565</v>
      </c>
      <c r="S11" s="16">
        <v>5367425</v>
      </c>
      <c r="T11" s="16">
        <v>2929140</v>
      </c>
      <c r="U11" s="16">
        <v>2497398</v>
      </c>
      <c r="V11" s="16">
        <v>431742</v>
      </c>
      <c r="W11" s="16">
        <v>1228451</v>
      </c>
      <c r="X11" s="16">
        <v>751810</v>
      </c>
      <c r="Y11" s="16">
        <v>476641</v>
      </c>
      <c r="Z11" s="16">
        <v>385240</v>
      </c>
      <c r="AA11" s="16">
        <v>91401</v>
      </c>
      <c r="AB11" s="16">
        <v>9409178</v>
      </c>
      <c r="AC11" s="16">
        <v>6202397</v>
      </c>
      <c r="AD11" s="16">
        <v>3206781</v>
      </c>
      <c r="AE11" s="16">
        <v>2758773</v>
      </c>
      <c r="AF11" s="16">
        <v>448008</v>
      </c>
      <c r="AG11" s="16">
        <v>3591090</v>
      </c>
      <c r="AH11" s="16">
        <v>2472998</v>
      </c>
      <c r="AI11" s="16">
        <v>1118092</v>
      </c>
      <c r="AJ11" s="16">
        <v>965136</v>
      </c>
      <c r="AK11" s="16">
        <v>152956</v>
      </c>
      <c r="AL11" s="16">
        <v>6611595</v>
      </c>
      <c r="AM11" s="16">
        <v>4602816</v>
      </c>
      <c r="AN11" s="16">
        <v>2008779</v>
      </c>
      <c r="AO11" s="16">
        <v>1734011</v>
      </c>
      <c r="AP11" s="16">
        <v>274768</v>
      </c>
    </row>
    <row r="12" spans="1:42" ht="13.5" customHeight="1" x14ac:dyDescent="0.2">
      <c r="A12" s="40"/>
      <c r="B12" s="26">
        <v>45870</v>
      </c>
      <c r="C12" s="16">
        <v>58001662</v>
      </c>
      <c r="D12" s="16">
        <v>36925009</v>
      </c>
      <c r="E12" s="16">
        <v>21076653</v>
      </c>
      <c r="F12" s="16">
        <v>18244137</v>
      </c>
      <c r="G12" s="16">
        <v>2832516</v>
      </c>
      <c r="H12" s="16">
        <v>19634956</v>
      </c>
      <c r="I12" s="16">
        <v>12888806</v>
      </c>
      <c r="J12" s="16">
        <v>6746150</v>
      </c>
      <c r="K12" s="16">
        <v>5948546</v>
      </c>
      <c r="L12" s="16">
        <v>797604</v>
      </c>
      <c r="M12" s="16">
        <v>8501143</v>
      </c>
      <c r="N12" s="16">
        <v>5269126</v>
      </c>
      <c r="O12" s="16">
        <v>3232017</v>
      </c>
      <c r="P12" s="16">
        <v>2724635</v>
      </c>
      <c r="Q12" s="16">
        <v>507382</v>
      </c>
      <c r="R12" s="16">
        <v>8359433</v>
      </c>
      <c r="S12" s="16">
        <v>5132860</v>
      </c>
      <c r="T12" s="16">
        <v>3226573</v>
      </c>
      <c r="U12" s="16">
        <v>2759626</v>
      </c>
      <c r="V12" s="16">
        <v>466947</v>
      </c>
      <c r="W12" s="16">
        <v>1238818</v>
      </c>
      <c r="X12" s="16">
        <v>721460</v>
      </c>
      <c r="Y12" s="16">
        <v>517358</v>
      </c>
      <c r="Z12" s="16">
        <v>419208</v>
      </c>
      <c r="AA12" s="16">
        <v>98150</v>
      </c>
      <c r="AB12" s="16">
        <v>9818773</v>
      </c>
      <c r="AC12" s="16">
        <v>6019242</v>
      </c>
      <c r="AD12" s="16">
        <v>3799531</v>
      </c>
      <c r="AE12" s="16">
        <v>3305587</v>
      </c>
      <c r="AF12" s="16">
        <v>493944</v>
      </c>
      <c r="AG12" s="16">
        <v>3791462</v>
      </c>
      <c r="AH12" s="16">
        <v>2434619</v>
      </c>
      <c r="AI12" s="16">
        <v>1356843</v>
      </c>
      <c r="AJ12" s="16">
        <v>1185468</v>
      </c>
      <c r="AK12" s="16">
        <v>171375</v>
      </c>
      <c r="AL12" s="16">
        <v>6657077</v>
      </c>
      <c r="AM12" s="16">
        <v>4458896</v>
      </c>
      <c r="AN12" s="16">
        <v>2198181</v>
      </c>
      <c r="AO12" s="16">
        <v>1901067</v>
      </c>
      <c r="AP12" s="16">
        <v>297114</v>
      </c>
    </row>
    <row r="13" spans="1:42" ht="13.5" customHeight="1" x14ac:dyDescent="0.2">
      <c r="A13" s="41"/>
      <c r="B13" s="26">
        <v>45901</v>
      </c>
      <c r="C13" s="16">
        <v>55070857</v>
      </c>
      <c r="D13" s="16">
        <v>34737858</v>
      </c>
      <c r="E13" s="16">
        <v>20332999</v>
      </c>
      <c r="F13" s="16">
        <v>17622788</v>
      </c>
      <c r="G13" s="16">
        <v>2710211</v>
      </c>
      <c r="H13" s="16">
        <v>18462419</v>
      </c>
      <c r="I13" s="16">
        <v>11976852</v>
      </c>
      <c r="J13" s="16">
        <v>6485567</v>
      </c>
      <c r="K13" s="16">
        <v>5722113</v>
      </c>
      <c r="L13" s="16">
        <v>763454</v>
      </c>
      <c r="M13" s="16">
        <v>8199014</v>
      </c>
      <c r="N13" s="16">
        <v>5047321</v>
      </c>
      <c r="O13" s="16">
        <v>3151693</v>
      </c>
      <c r="P13" s="16">
        <v>2664096</v>
      </c>
      <c r="Q13" s="16">
        <v>487597</v>
      </c>
      <c r="R13" s="16">
        <v>7992795</v>
      </c>
      <c r="S13" s="16">
        <v>4868727</v>
      </c>
      <c r="T13" s="16">
        <v>3124068</v>
      </c>
      <c r="U13" s="16">
        <v>2676124</v>
      </c>
      <c r="V13" s="16">
        <v>447944</v>
      </c>
      <c r="W13" s="16">
        <v>1206173</v>
      </c>
      <c r="X13" s="16">
        <v>693762</v>
      </c>
      <c r="Y13" s="16">
        <v>512411</v>
      </c>
      <c r="Z13" s="16">
        <v>416469</v>
      </c>
      <c r="AA13" s="16">
        <v>95942</v>
      </c>
      <c r="AB13" s="16">
        <v>9224347</v>
      </c>
      <c r="AC13" s="16">
        <v>5622955</v>
      </c>
      <c r="AD13" s="16">
        <v>3601392</v>
      </c>
      <c r="AE13" s="16">
        <v>3135515</v>
      </c>
      <c r="AF13" s="16">
        <v>465877</v>
      </c>
      <c r="AG13" s="16">
        <v>3596627</v>
      </c>
      <c r="AH13" s="16">
        <v>2297987</v>
      </c>
      <c r="AI13" s="16">
        <v>1298640</v>
      </c>
      <c r="AJ13" s="16">
        <v>1134669</v>
      </c>
      <c r="AK13" s="16">
        <v>163971</v>
      </c>
      <c r="AL13" s="16">
        <v>6389482</v>
      </c>
      <c r="AM13" s="16">
        <v>4230254</v>
      </c>
      <c r="AN13" s="16">
        <v>2159228</v>
      </c>
      <c r="AO13" s="16">
        <v>1873802</v>
      </c>
      <c r="AP13" s="16">
        <v>285426</v>
      </c>
    </row>
    <row r="14" spans="1:42" ht="13.5" customHeight="1" x14ac:dyDescent="0.2">
      <c r="A14" s="41"/>
      <c r="B14" s="26">
        <v>45931</v>
      </c>
      <c r="C14" s="16">
        <v>62218399</v>
      </c>
      <c r="D14" s="16">
        <v>38920701</v>
      </c>
      <c r="E14" s="16">
        <v>23297698</v>
      </c>
      <c r="F14" s="16">
        <v>20173939</v>
      </c>
      <c r="G14" s="16">
        <v>3123759</v>
      </c>
      <c r="H14" s="16">
        <v>20879617</v>
      </c>
      <c r="I14" s="16">
        <v>13513119</v>
      </c>
      <c r="J14" s="16">
        <v>7366498</v>
      </c>
      <c r="K14" s="16">
        <v>6489785</v>
      </c>
      <c r="L14" s="16">
        <v>876713</v>
      </c>
      <c r="M14" s="16">
        <v>9159745</v>
      </c>
      <c r="N14" s="16">
        <v>5553628</v>
      </c>
      <c r="O14" s="16">
        <v>3606117</v>
      </c>
      <c r="P14" s="16">
        <v>3042448</v>
      </c>
      <c r="Q14" s="16">
        <v>563669</v>
      </c>
      <c r="R14" s="16">
        <v>9032352</v>
      </c>
      <c r="S14" s="16">
        <v>5452527</v>
      </c>
      <c r="T14" s="16">
        <v>3579825</v>
      </c>
      <c r="U14" s="16">
        <v>3064225</v>
      </c>
      <c r="V14" s="16">
        <v>515600</v>
      </c>
      <c r="W14" s="16">
        <v>1338723</v>
      </c>
      <c r="X14" s="16">
        <v>757629</v>
      </c>
      <c r="Y14" s="16">
        <v>581094</v>
      </c>
      <c r="Z14" s="16">
        <v>472328</v>
      </c>
      <c r="AA14" s="16">
        <v>108766</v>
      </c>
      <c r="AB14" s="16">
        <v>10455989</v>
      </c>
      <c r="AC14" s="16">
        <v>6275737</v>
      </c>
      <c r="AD14" s="16">
        <v>4180252</v>
      </c>
      <c r="AE14" s="16">
        <v>3643123</v>
      </c>
      <c r="AF14" s="16">
        <v>537129</v>
      </c>
      <c r="AG14" s="16">
        <v>4110002</v>
      </c>
      <c r="AH14" s="16">
        <v>2608835</v>
      </c>
      <c r="AI14" s="16">
        <v>1501167</v>
      </c>
      <c r="AJ14" s="16">
        <v>1311411</v>
      </c>
      <c r="AK14" s="16">
        <v>189756</v>
      </c>
      <c r="AL14" s="16">
        <v>7241971</v>
      </c>
      <c r="AM14" s="16">
        <v>4759226</v>
      </c>
      <c r="AN14" s="16">
        <v>2482745</v>
      </c>
      <c r="AO14" s="16">
        <v>2150619</v>
      </c>
      <c r="AP14" s="16">
        <v>332126</v>
      </c>
    </row>
    <row r="15" spans="1:42" ht="13.5" customHeight="1" x14ac:dyDescent="0.2">
      <c r="A15" s="40"/>
      <c r="B15" s="26">
        <v>45962</v>
      </c>
      <c r="C15" s="16">
        <v>57662970</v>
      </c>
      <c r="D15" s="16">
        <v>36339100</v>
      </c>
      <c r="E15" s="16">
        <v>21323870</v>
      </c>
      <c r="F15" s="16">
        <v>18389353</v>
      </c>
      <c r="G15" s="16">
        <v>2934517</v>
      </c>
      <c r="H15" s="16">
        <v>19254543</v>
      </c>
      <c r="I15" s="16">
        <v>12567675</v>
      </c>
      <c r="J15" s="16">
        <v>6686868</v>
      </c>
      <c r="K15" s="16">
        <v>5871015</v>
      </c>
      <c r="L15" s="16">
        <v>815853</v>
      </c>
      <c r="M15" s="16">
        <v>8525409</v>
      </c>
      <c r="N15" s="16">
        <v>5193859</v>
      </c>
      <c r="O15" s="16">
        <v>3331550</v>
      </c>
      <c r="P15" s="16">
        <v>2797440</v>
      </c>
      <c r="Q15" s="16">
        <v>534110</v>
      </c>
      <c r="R15" s="16">
        <v>8369717</v>
      </c>
      <c r="S15" s="16">
        <v>5072210</v>
      </c>
      <c r="T15" s="16">
        <v>3297507</v>
      </c>
      <c r="U15" s="16">
        <v>2814355</v>
      </c>
      <c r="V15" s="16">
        <v>483152</v>
      </c>
      <c r="W15" s="16">
        <v>1260405</v>
      </c>
      <c r="X15" s="16">
        <v>715823</v>
      </c>
      <c r="Y15" s="16">
        <v>544582</v>
      </c>
      <c r="Z15" s="16">
        <v>440427</v>
      </c>
      <c r="AA15" s="16">
        <v>104155</v>
      </c>
      <c r="AB15" s="16">
        <v>9646808</v>
      </c>
      <c r="AC15" s="16">
        <v>5849867</v>
      </c>
      <c r="AD15" s="16">
        <v>3796941</v>
      </c>
      <c r="AE15" s="16">
        <v>3291483</v>
      </c>
      <c r="AF15" s="16">
        <v>505458</v>
      </c>
      <c r="AG15" s="16">
        <v>3815783</v>
      </c>
      <c r="AH15" s="16">
        <v>2450840</v>
      </c>
      <c r="AI15" s="16">
        <v>1364943</v>
      </c>
      <c r="AJ15" s="16">
        <v>1189129</v>
      </c>
      <c r="AK15" s="16">
        <v>175814</v>
      </c>
      <c r="AL15" s="16">
        <v>6790305</v>
      </c>
      <c r="AM15" s="16">
        <v>4488826</v>
      </c>
      <c r="AN15" s="16">
        <v>2301479</v>
      </c>
      <c r="AO15" s="16">
        <v>1985504</v>
      </c>
      <c r="AP15" s="16">
        <v>315975</v>
      </c>
    </row>
    <row r="16" spans="1:42" ht="13.5" customHeight="1" x14ac:dyDescent="0.2">
      <c r="A16" s="40"/>
      <c r="B16" s="26">
        <v>45992</v>
      </c>
      <c r="C16" s="16">
        <v>55195696</v>
      </c>
      <c r="D16" s="16">
        <v>36553048</v>
      </c>
      <c r="E16" s="16">
        <v>18642648</v>
      </c>
      <c r="F16" s="16">
        <v>15796534</v>
      </c>
      <c r="G16" s="16">
        <v>2846114</v>
      </c>
      <c r="H16" s="16">
        <v>18468812</v>
      </c>
      <c r="I16" s="16">
        <v>12706361</v>
      </c>
      <c r="J16" s="16">
        <v>5762451</v>
      </c>
      <c r="K16" s="16">
        <v>4962530</v>
      </c>
      <c r="L16" s="16">
        <v>799921</v>
      </c>
      <c r="M16" s="16">
        <v>8102632</v>
      </c>
      <c r="N16" s="16">
        <v>5202590</v>
      </c>
      <c r="O16" s="16">
        <v>2900042</v>
      </c>
      <c r="P16" s="16">
        <v>2399520</v>
      </c>
      <c r="Q16" s="16">
        <v>500522</v>
      </c>
      <c r="R16" s="16">
        <v>8209168</v>
      </c>
      <c r="S16" s="16">
        <v>5145871</v>
      </c>
      <c r="T16" s="16">
        <v>3063297</v>
      </c>
      <c r="U16" s="16">
        <v>2580229</v>
      </c>
      <c r="V16" s="16">
        <v>483068</v>
      </c>
      <c r="W16" s="16">
        <v>1247231</v>
      </c>
      <c r="X16" s="16">
        <v>742200</v>
      </c>
      <c r="Y16" s="16">
        <v>505031</v>
      </c>
      <c r="Z16" s="16">
        <v>401706</v>
      </c>
      <c r="AA16" s="16">
        <v>103325</v>
      </c>
      <c r="AB16" s="16">
        <v>9101763</v>
      </c>
      <c r="AC16" s="16">
        <v>5873522</v>
      </c>
      <c r="AD16" s="16">
        <v>3228241</v>
      </c>
      <c r="AE16" s="16">
        <v>2737099</v>
      </c>
      <c r="AF16" s="16">
        <v>491142</v>
      </c>
      <c r="AG16" s="16">
        <v>3488950</v>
      </c>
      <c r="AH16" s="16">
        <v>2361018</v>
      </c>
      <c r="AI16" s="16">
        <v>1127932</v>
      </c>
      <c r="AJ16" s="16">
        <v>964281</v>
      </c>
      <c r="AK16" s="16">
        <v>163651</v>
      </c>
      <c r="AL16" s="16">
        <v>6577140</v>
      </c>
      <c r="AM16" s="16">
        <v>4521486</v>
      </c>
      <c r="AN16" s="16">
        <v>2055654</v>
      </c>
      <c r="AO16" s="16">
        <v>1751169</v>
      </c>
      <c r="AP16" s="16">
        <v>304485</v>
      </c>
    </row>
    <row r="17" spans="1:42" ht="13.5" customHeight="1" x14ac:dyDescent="0.2">
      <c r="A17" s="40"/>
      <c r="B17" s="26">
        <v>46023</v>
      </c>
      <c r="C17" s="16">
        <v>48527261</v>
      </c>
      <c r="D17" s="16">
        <v>32758945</v>
      </c>
      <c r="E17" s="16">
        <v>15768316</v>
      </c>
      <c r="F17" s="16">
        <v>13297935</v>
      </c>
      <c r="G17" s="16">
        <v>2470381</v>
      </c>
      <c r="H17" s="16">
        <v>16291315</v>
      </c>
      <c r="I17" s="16">
        <v>11489926</v>
      </c>
      <c r="J17" s="16">
        <v>4801389</v>
      </c>
      <c r="K17" s="16">
        <v>4113418</v>
      </c>
      <c r="L17" s="16">
        <v>687971</v>
      </c>
      <c r="M17" s="16">
        <v>7043073</v>
      </c>
      <c r="N17" s="16">
        <v>4597820</v>
      </c>
      <c r="O17" s="16">
        <v>2445253</v>
      </c>
      <c r="P17" s="16">
        <v>2013978</v>
      </c>
      <c r="Q17" s="16">
        <v>431275</v>
      </c>
      <c r="R17" s="16">
        <v>7252396</v>
      </c>
      <c r="S17" s="16">
        <v>4590333</v>
      </c>
      <c r="T17" s="16">
        <v>2662063</v>
      </c>
      <c r="U17" s="16">
        <v>2233973</v>
      </c>
      <c r="V17" s="16">
        <v>428090</v>
      </c>
      <c r="W17" s="16">
        <v>1061895</v>
      </c>
      <c r="X17" s="16">
        <v>636955</v>
      </c>
      <c r="Y17" s="16">
        <v>424940</v>
      </c>
      <c r="Z17" s="16">
        <v>335860</v>
      </c>
      <c r="AA17" s="16">
        <v>89080</v>
      </c>
      <c r="AB17" s="16">
        <v>7957571</v>
      </c>
      <c r="AC17" s="16">
        <v>5229275</v>
      </c>
      <c r="AD17" s="16">
        <v>2728296</v>
      </c>
      <c r="AE17" s="16">
        <v>2302660</v>
      </c>
      <c r="AF17" s="16">
        <v>425636</v>
      </c>
      <c r="AG17" s="16">
        <v>3158312</v>
      </c>
      <c r="AH17" s="16">
        <v>2181241</v>
      </c>
      <c r="AI17" s="16">
        <v>977071</v>
      </c>
      <c r="AJ17" s="16">
        <v>830633</v>
      </c>
      <c r="AK17" s="16">
        <v>146438</v>
      </c>
      <c r="AL17" s="16">
        <v>5762699</v>
      </c>
      <c r="AM17" s="16">
        <v>4033395</v>
      </c>
      <c r="AN17" s="16">
        <v>1729304</v>
      </c>
      <c r="AO17" s="16">
        <v>1467413</v>
      </c>
      <c r="AP17" s="16">
        <v>261891</v>
      </c>
    </row>
    <row r="18" spans="1:42" ht="13.5" customHeight="1" x14ac:dyDescent="0.2">
      <c r="A18" s="40"/>
      <c r="B18" s="26">
        <v>46054</v>
      </c>
      <c r="C18" s="16">
        <v>41150445</v>
      </c>
      <c r="D18" s="16">
        <v>28199041</v>
      </c>
      <c r="E18" s="16">
        <v>12951404</v>
      </c>
      <c r="F18" s="16">
        <v>10805032</v>
      </c>
      <c r="G18" s="16">
        <v>2146372</v>
      </c>
      <c r="H18" s="16">
        <v>13737677</v>
      </c>
      <c r="I18" s="16">
        <v>9881265</v>
      </c>
      <c r="J18" s="16">
        <v>3856412</v>
      </c>
      <c r="K18" s="16">
        <v>3258325</v>
      </c>
      <c r="L18" s="16">
        <v>598087</v>
      </c>
      <c r="M18" s="16">
        <v>6093997</v>
      </c>
      <c r="N18" s="16">
        <v>4037111</v>
      </c>
      <c r="O18" s="16">
        <v>2056886</v>
      </c>
      <c r="P18" s="16">
        <v>1678411</v>
      </c>
      <c r="Q18" s="16">
        <v>378475</v>
      </c>
      <c r="R18" s="16">
        <v>6132277</v>
      </c>
      <c r="S18" s="16">
        <v>3913883</v>
      </c>
      <c r="T18" s="16">
        <v>2218394</v>
      </c>
      <c r="U18" s="16">
        <v>1849894</v>
      </c>
      <c r="V18" s="16">
        <v>368500</v>
      </c>
      <c r="W18" s="16">
        <v>916865</v>
      </c>
      <c r="X18" s="16">
        <v>557849</v>
      </c>
      <c r="Y18" s="16">
        <v>359016</v>
      </c>
      <c r="Z18" s="16">
        <v>281638</v>
      </c>
      <c r="AA18" s="16">
        <v>77378</v>
      </c>
      <c r="AB18" s="16">
        <v>6730834</v>
      </c>
      <c r="AC18" s="16">
        <v>4492847</v>
      </c>
      <c r="AD18" s="16">
        <v>2237987</v>
      </c>
      <c r="AE18" s="16">
        <v>1868044</v>
      </c>
      <c r="AF18" s="16">
        <v>369943</v>
      </c>
      <c r="AG18" s="16">
        <v>2655274</v>
      </c>
      <c r="AH18" s="16">
        <v>1851894</v>
      </c>
      <c r="AI18" s="16">
        <v>803380</v>
      </c>
      <c r="AJ18" s="16">
        <v>676966</v>
      </c>
      <c r="AK18" s="16">
        <v>126414</v>
      </c>
      <c r="AL18" s="16">
        <v>4883521</v>
      </c>
      <c r="AM18" s="16">
        <v>3464192</v>
      </c>
      <c r="AN18" s="16">
        <v>1419329</v>
      </c>
      <c r="AO18" s="16">
        <v>1191754</v>
      </c>
      <c r="AP18" s="16">
        <v>227575</v>
      </c>
    </row>
    <row r="19" spans="1:42" ht="13.5" customHeight="1" x14ac:dyDescent="0.2">
      <c r="B19" s="20" t="s">
        <v>23</v>
      </c>
      <c r="C19" s="34">
        <v>-15.201385464553624</v>
      </c>
      <c r="D19" s="34">
        <v>-13.919569143633908</v>
      </c>
      <c r="E19" s="34">
        <v>-17.864380698611058</v>
      </c>
      <c r="F19" s="34">
        <v>-18.74654222629303</v>
      </c>
      <c r="G19" s="34">
        <v>-13.115750161614741</v>
      </c>
      <c r="H19" s="34">
        <v>-15.674842699929386</v>
      </c>
      <c r="I19" s="34">
        <v>-14.000621065792757</v>
      </c>
      <c r="J19" s="34">
        <v>-19.681325549752373</v>
      </c>
      <c r="K19" s="34">
        <v>-20.787894641390693</v>
      </c>
      <c r="L19" s="34">
        <v>-13.065085592270606</v>
      </c>
      <c r="M19" s="34">
        <v>-13.475311131944821</v>
      </c>
      <c r="N19" s="34">
        <v>-12.195105506522651</v>
      </c>
      <c r="O19" s="34">
        <v>-15.882487415412641</v>
      </c>
      <c r="P19" s="34">
        <v>-16.661899981032562</v>
      </c>
      <c r="Q19" s="34">
        <v>-12.242768535157381</v>
      </c>
      <c r="R19" s="34">
        <v>-15.444812996973695</v>
      </c>
      <c r="S19" s="34">
        <v>-14.736403655246804</v>
      </c>
      <c r="T19" s="34">
        <v>-16.666359887050007</v>
      </c>
      <c r="U19" s="34">
        <v>-17.192642883329384</v>
      </c>
      <c r="V19" s="34">
        <v>-13.919970099745385</v>
      </c>
      <c r="W19" s="34">
        <v>-13.657659184759325</v>
      </c>
      <c r="X19" s="34">
        <v>-12.419401684577409</v>
      </c>
      <c r="Y19" s="34">
        <v>-15.513719583941267</v>
      </c>
      <c r="Z19" s="34">
        <v>-16.144226761150478</v>
      </c>
      <c r="AA19" s="34">
        <v>-13.136506511001343</v>
      </c>
      <c r="AB19" s="34">
        <v>-15.415973040014336</v>
      </c>
      <c r="AC19" s="34">
        <v>-14.0827935038796</v>
      </c>
      <c r="AD19" s="34">
        <v>-17.971253852221309</v>
      </c>
      <c r="AE19" s="34">
        <v>-18.874519034507927</v>
      </c>
      <c r="AF19" s="34">
        <v>-13.084654493510882</v>
      </c>
      <c r="AG19" s="34">
        <v>-15.927432121968948</v>
      </c>
      <c r="AH19" s="34">
        <v>-15.099065165197246</v>
      </c>
      <c r="AI19" s="34">
        <v>-17.776702000161706</v>
      </c>
      <c r="AJ19" s="34">
        <v>-18.499987359038229</v>
      </c>
      <c r="AK19" s="34">
        <v>-13.674046354088418</v>
      </c>
      <c r="AL19" s="34">
        <v>-15.256358175223113</v>
      </c>
      <c r="AM19" s="34">
        <v>-14.112255308493218</v>
      </c>
      <c r="AN19" s="34">
        <v>-17.924841439099197</v>
      </c>
      <c r="AO19" s="34">
        <v>-18.785372625157336</v>
      </c>
      <c r="AP19" s="34">
        <v>-13.103161238836009</v>
      </c>
    </row>
    <row r="20" spans="1:42" ht="13.5" customHeight="1" x14ac:dyDescent="0.2">
      <c r="B20" s="9" t="s">
        <v>24</v>
      </c>
      <c r="C20" s="35">
        <v>4.76304154651082</v>
      </c>
      <c r="D20" s="35">
        <v>3.2814587617721429</v>
      </c>
      <c r="E20" s="35">
        <v>8.1406557856952872</v>
      </c>
      <c r="F20" s="35">
        <v>8.4794865446680205</v>
      </c>
      <c r="G20" s="35">
        <v>6.466601025295077</v>
      </c>
      <c r="H20" s="35">
        <v>3.7352124009157421</v>
      </c>
      <c r="I20" s="35">
        <v>2.8650816090369773</v>
      </c>
      <c r="J20" s="35">
        <v>6.033415654425184</v>
      </c>
      <c r="K20" s="35">
        <v>6.2846866806408457</v>
      </c>
      <c r="L20" s="35">
        <v>4.6851151718826571</v>
      </c>
      <c r="M20" s="35">
        <v>2.5813168592662379</v>
      </c>
      <c r="N20" s="35">
        <v>0.13294471806418073</v>
      </c>
      <c r="O20" s="35">
        <v>7.7524793087533794</v>
      </c>
      <c r="P20" s="35">
        <v>7.897125547871326</v>
      </c>
      <c r="Q20" s="35">
        <v>7.115667090251975</v>
      </c>
      <c r="R20" s="35">
        <v>6.7131772639503993</v>
      </c>
      <c r="S20" s="35">
        <v>5.4586023542167794</v>
      </c>
      <c r="T20" s="35">
        <v>9.0009561685647554</v>
      </c>
      <c r="U20" s="35">
        <v>9.3970987409742293</v>
      </c>
      <c r="V20" s="35">
        <v>7.0548725219048407</v>
      </c>
      <c r="W20" s="35">
        <v>4.6519325791653898</v>
      </c>
      <c r="X20" s="35">
        <v>1.9917543490780787</v>
      </c>
      <c r="Y20" s="35">
        <v>9.0723491131810619</v>
      </c>
      <c r="Z20" s="35">
        <v>9.7092862457296576</v>
      </c>
      <c r="AA20" s="35">
        <v>6.8152013362598609</v>
      </c>
      <c r="AB20" s="35">
        <v>3.8487630953958814</v>
      </c>
      <c r="AC20" s="35">
        <v>1.8911163478331474</v>
      </c>
      <c r="AD20" s="35">
        <v>8.0150218010137451</v>
      </c>
      <c r="AE20" s="35">
        <v>8.4194922976381577</v>
      </c>
      <c r="AF20" s="35">
        <v>6.0178710624054332</v>
      </c>
      <c r="AG20" s="35">
        <v>8.100777797455109</v>
      </c>
      <c r="AH20" s="35">
        <v>6.7366681037364486</v>
      </c>
      <c r="AI20" s="35">
        <v>11.382078878886645</v>
      </c>
      <c r="AJ20" s="35">
        <v>12.09790927727164</v>
      </c>
      <c r="AK20" s="35">
        <v>7.6991233376215007</v>
      </c>
      <c r="AL20" s="35">
        <v>7.6712960605064495</v>
      </c>
      <c r="AM20" s="35">
        <v>6.1794615430355435</v>
      </c>
      <c r="AN20" s="35">
        <v>11.494727812468341</v>
      </c>
      <c r="AO20" s="35">
        <v>11.94098966116772</v>
      </c>
      <c r="AP20" s="35">
        <v>9.2146812942113741</v>
      </c>
    </row>
    <row r="21" spans="1:42" ht="13.5" customHeight="1" x14ac:dyDescent="0.2">
      <c r="B21" s="33" t="s">
        <v>25</v>
      </c>
      <c r="C21" s="36">
        <v>2.7890460248236622</v>
      </c>
      <c r="D21" s="36">
        <v>1.2434050929639966</v>
      </c>
      <c r="E21" s="36">
        <v>6.2313152478674141</v>
      </c>
      <c r="F21" s="36">
        <v>6.7138998332191733</v>
      </c>
      <c r="G21" s="36">
        <v>3.7810980614128198</v>
      </c>
      <c r="H21" s="36">
        <v>1.5441999576901964</v>
      </c>
      <c r="I21" s="36">
        <v>0.38467688175316539</v>
      </c>
      <c r="J21" s="36">
        <v>4.5244378875388662</v>
      </c>
      <c r="K21" s="36">
        <v>5.0328174881463497</v>
      </c>
      <c r="L21" s="36">
        <v>1.7027724222356824</v>
      </c>
      <c r="M21" s="36">
        <v>1.7179219178770495</v>
      </c>
      <c r="N21" s="36">
        <v>-0.73711471811931517</v>
      </c>
      <c r="O21" s="36">
        <v>6.7833309298733582</v>
      </c>
      <c r="P21" s="36">
        <v>7.0973526072789497</v>
      </c>
      <c r="Q21" s="36">
        <v>5.3744550718979838</v>
      </c>
      <c r="R21" s="36">
        <v>3.736279117783738</v>
      </c>
      <c r="S21" s="36">
        <v>2.4412784501018621</v>
      </c>
      <c r="T21" s="36">
        <v>6.0728173866626776</v>
      </c>
      <c r="U21" s="36">
        <v>6.5156081485529</v>
      </c>
      <c r="V21" s="36">
        <v>3.8593773835087717</v>
      </c>
      <c r="W21" s="36">
        <v>2.243639095599832</v>
      </c>
      <c r="X21" s="36">
        <v>-0.44154543401691626</v>
      </c>
      <c r="Y21" s="36">
        <v>6.6265887777377372</v>
      </c>
      <c r="Z21" s="36">
        <v>7.3088419296538234</v>
      </c>
      <c r="AA21" s="36">
        <v>4.169717450483418</v>
      </c>
      <c r="AB21" s="36">
        <v>1.6802601192882634</v>
      </c>
      <c r="AC21" s="36">
        <v>-0.17895075450603315</v>
      </c>
      <c r="AD21" s="36">
        <v>5.527982764603351</v>
      </c>
      <c r="AE21" s="36">
        <v>5.9960241680970796</v>
      </c>
      <c r="AF21" s="36">
        <v>3.1404476538040171</v>
      </c>
      <c r="AG21" s="36">
        <v>7.2427986423799382</v>
      </c>
      <c r="AH21" s="36">
        <v>5.9951900346306104</v>
      </c>
      <c r="AI21" s="36">
        <v>10.1805141279998</v>
      </c>
      <c r="AJ21" s="36">
        <v>11.113657938337624</v>
      </c>
      <c r="AK21" s="36">
        <v>5.2945988916845579</v>
      </c>
      <c r="AL21" s="36">
        <v>5.9081415574422351</v>
      </c>
      <c r="AM21" s="36">
        <v>4.4993649968890992</v>
      </c>
      <c r="AN21" s="36">
        <v>9.4207323112359234</v>
      </c>
      <c r="AO21" s="36">
        <v>9.9172262420713935</v>
      </c>
      <c r="AP21" s="36">
        <v>6.7998830465500788</v>
      </c>
    </row>
    <row r="22" spans="1:42" ht="13.5" customHeight="1" x14ac:dyDescent="0.2">
      <c r="B22" s="9" t="s">
        <v>14</v>
      </c>
      <c r="C22" s="9"/>
      <c r="I22" s="8"/>
      <c r="K22" s="8"/>
      <c r="L22" s="8"/>
      <c r="N22" s="8"/>
      <c r="P22" s="8"/>
      <c r="Q22" s="8"/>
      <c r="S22" s="8"/>
      <c r="U22" s="8"/>
      <c r="V22" s="8"/>
      <c r="X22" s="8"/>
      <c r="Z22" s="8"/>
      <c r="AA22" s="8"/>
      <c r="AC22" s="8"/>
      <c r="AE22" s="8"/>
      <c r="AF22" s="8"/>
      <c r="AH22" s="8"/>
      <c r="AI22" s="4"/>
      <c r="AJ22" s="8"/>
      <c r="AK22" s="8"/>
      <c r="AM22" s="8"/>
      <c r="AN22" s="4"/>
      <c r="AO22" s="8"/>
      <c r="AP22" s="8"/>
    </row>
    <row r="23" spans="1:42" ht="12.75" customHeight="1" x14ac:dyDescent="0.2">
      <c r="B23" s="10" t="s">
        <v>15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</row>
    <row r="24" spans="1:42" x14ac:dyDescent="0.2">
      <c r="B24" s="117" t="s">
        <v>16</v>
      </c>
      <c r="C24" s="117"/>
      <c r="D24" s="117"/>
      <c r="E24" s="117"/>
      <c r="F24" s="117"/>
    </row>
  </sheetData>
  <mergeCells count="2">
    <mergeCell ref="B1:AF1"/>
    <mergeCell ref="B24:F24"/>
  </mergeCells>
  <printOptions gridLines="1"/>
  <pageMargins left="0.70866141732283472" right="0.70866141732283472" top="0.74803149606299213" bottom="0.74803149606299213" header="0.31496062992125984" footer="0.31496062992125984"/>
  <pageSetup paperSize="14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E463-45D2-4FC1-B08B-ABD9D1A0B928}">
  <dimension ref="B2:N29"/>
  <sheetViews>
    <sheetView workbookViewId="0">
      <selection activeCell="Q44" sqref="Q44"/>
    </sheetView>
  </sheetViews>
  <sheetFormatPr baseColWidth="10" defaultRowHeight="12.75" x14ac:dyDescent="0.2"/>
  <cols>
    <col min="1" max="1" width="7.5703125" customWidth="1"/>
  </cols>
  <sheetData>
    <row r="2" spans="2:14" ht="15" x14ac:dyDescent="0.25">
      <c r="B2" s="43" t="s">
        <v>47</v>
      </c>
    </row>
    <row r="3" spans="2:14" x14ac:dyDescent="0.2">
      <c r="B3" s="46" t="s">
        <v>48</v>
      </c>
    </row>
    <row r="5" spans="2:14" ht="15" x14ac:dyDescent="0.25">
      <c r="B5" s="47" t="s">
        <v>49</v>
      </c>
      <c r="C5" s="48" t="s">
        <v>50</v>
      </c>
      <c r="D5" s="48" t="s">
        <v>51</v>
      </c>
      <c r="E5" s="48" t="s">
        <v>52</v>
      </c>
      <c r="F5" s="48" t="s">
        <v>53</v>
      </c>
      <c r="G5" s="48" t="s">
        <v>54</v>
      </c>
      <c r="H5" s="48" t="s">
        <v>55</v>
      </c>
      <c r="I5" s="48" t="s">
        <v>56</v>
      </c>
      <c r="J5" s="48" t="s">
        <v>57</v>
      </c>
      <c r="K5" s="48" t="s">
        <v>58</v>
      </c>
      <c r="L5" s="48" t="s">
        <v>59</v>
      </c>
      <c r="M5" s="48" t="s">
        <v>60</v>
      </c>
      <c r="N5" s="48" t="s">
        <v>61</v>
      </c>
    </row>
    <row r="6" spans="2:14" x14ac:dyDescent="0.2">
      <c r="B6" s="49">
        <v>2007</v>
      </c>
      <c r="C6" s="50"/>
      <c r="D6" s="50"/>
      <c r="E6" s="50"/>
      <c r="F6" s="50"/>
      <c r="G6" s="51">
        <v>0.16200000000000001</v>
      </c>
      <c r="H6" s="51">
        <v>0.14599999999999999</v>
      </c>
      <c r="I6" s="51">
        <v>0.13</v>
      </c>
      <c r="J6" s="51">
        <v>0.122</v>
      </c>
      <c r="K6" s="51">
        <v>0.113</v>
      </c>
      <c r="L6" s="51">
        <v>0.128</v>
      </c>
      <c r="M6" s="51">
        <v>0.14299999999999999</v>
      </c>
      <c r="N6" s="51">
        <v>0.128</v>
      </c>
    </row>
    <row r="7" spans="2:14" x14ac:dyDescent="0.2">
      <c r="B7" s="49">
        <v>2008</v>
      </c>
      <c r="C7" s="51">
        <v>0.126</v>
      </c>
      <c r="D7" s="51">
        <v>0.125</v>
      </c>
      <c r="E7" s="51">
        <v>0.122</v>
      </c>
      <c r="F7" s="51">
        <v>0.12</v>
      </c>
      <c r="G7" s="51">
        <v>0.156</v>
      </c>
      <c r="H7" s="51">
        <v>0.155</v>
      </c>
      <c r="I7" s="51">
        <v>0.153</v>
      </c>
      <c r="J7" s="51">
        <v>0.151</v>
      </c>
      <c r="K7" s="51">
        <v>0.16500000000000001</v>
      </c>
      <c r="L7" s="51">
        <v>0.14399999999999999</v>
      </c>
      <c r="M7" s="51">
        <v>0.11899999999999999</v>
      </c>
      <c r="N7" s="51">
        <v>0.11600000000000001</v>
      </c>
    </row>
    <row r="8" spans="2:14" x14ac:dyDescent="0.2">
      <c r="B8" s="49">
        <v>2009</v>
      </c>
      <c r="C8" s="51">
        <v>0.13100000000000001</v>
      </c>
      <c r="D8" s="51">
        <v>0.123</v>
      </c>
      <c r="E8" s="51">
        <v>0.13700000000000001</v>
      </c>
      <c r="F8" s="51">
        <v>0.14499999999999999</v>
      </c>
      <c r="G8" s="51">
        <v>0.152</v>
      </c>
      <c r="H8" s="51">
        <v>0.159</v>
      </c>
      <c r="I8" s="51">
        <v>0.16500000000000001</v>
      </c>
      <c r="J8" s="51">
        <v>0.17199999999999999</v>
      </c>
      <c r="K8" s="51">
        <v>0.16900000000000001</v>
      </c>
      <c r="L8" s="51">
        <v>0.16500000000000001</v>
      </c>
      <c r="M8" s="51">
        <v>0.16900000000000001</v>
      </c>
      <c r="N8" s="51">
        <v>0.17199999999999999</v>
      </c>
    </row>
    <row r="9" spans="2:14" x14ac:dyDescent="0.2">
      <c r="B9" s="49">
        <v>2010</v>
      </c>
      <c r="C9" s="51">
        <v>0.17499999999999999</v>
      </c>
      <c r="D9" s="51">
        <v>0.17799999999999999</v>
      </c>
      <c r="E9" s="51">
        <v>0.17699999999999999</v>
      </c>
      <c r="F9" s="51">
        <v>0.17699999999999999</v>
      </c>
      <c r="G9" s="51">
        <v>0.16300000000000001</v>
      </c>
      <c r="H9" s="51">
        <v>0.18099999999999999</v>
      </c>
      <c r="I9" s="51">
        <v>0.19500000000000001</v>
      </c>
      <c r="J9" s="51">
        <v>0.16900000000000001</v>
      </c>
      <c r="K9" s="51">
        <v>0.185</v>
      </c>
      <c r="L9" s="51">
        <v>0.17699999999999999</v>
      </c>
      <c r="M9" s="51">
        <v>0.19600000000000001</v>
      </c>
      <c r="N9" s="51">
        <v>0.188</v>
      </c>
    </row>
    <row r="10" spans="2:14" x14ac:dyDescent="0.2">
      <c r="B10" s="49">
        <v>2011</v>
      </c>
      <c r="C10" s="51">
        <v>0.20499999999999999</v>
      </c>
      <c r="D10" s="51">
        <v>0.19899999999999998</v>
      </c>
      <c r="E10" s="51">
        <v>0.19400000000000001</v>
      </c>
      <c r="F10" s="51">
        <v>0.20799999999999999</v>
      </c>
      <c r="G10" s="51">
        <v>0.20300000000000001</v>
      </c>
      <c r="H10" s="51">
        <v>0.20100000000000001</v>
      </c>
      <c r="I10" s="51">
        <v>0.19899999999999998</v>
      </c>
      <c r="J10" s="51">
        <v>0.223</v>
      </c>
      <c r="K10" s="51">
        <v>0.222</v>
      </c>
      <c r="L10" s="51">
        <v>0.23599999999999999</v>
      </c>
      <c r="M10" s="51">
        <v>0.223</v>
      </c>
      <c r="N10" s="51">
        <v>0.23599999999999999</v>
      </c>
    </row>
    <row r="11" spans="2:14" x14ac:dyDescent="0.2">
      <c r="B11" s="49">
        <v>2012</v>
      </c>
      <c r="C11" s="51">
        <v>0.23300000000000001</v>
      </c>
      <c r="D11" s="51">
        <v>0.27699999999999997</v>
      </c>
      <c r="E11" s="51">
        <v>0.22699999999999998</v>
      </c>
      <c r="F11" s="51">
        <v>0.245</v>
      </c>
      <c r="G11" s="51">
        <v>0.23899999999999999</v>
      </c>
      <c r="H11" s="51">
        <v>0.23300000000000001</v>
      </c>
      <c r="I11" s="51">
        <v>0.21800000000000003</v>
      </c>
      <c r="J11" s="51">
        <v>0.20300000000000001</v>
      </c>
      <c r="K11" s="51">
        <v>0.20550000000000002</v>
      </c>
      <c r="L11" s="51">
        <v>0.20799999999999999</v>
      </c>
      <c r="M11" s="51">
        <v>0.20350000000000001</v>
      </c>
      <c r="N11" s="51">
        <v>0.19900000000000001</v>
      </c>
    </row>
    <row r="12" spans="2:14" x14ac:dyDescent="0.2">
      <c r="B12" s="49" t="s">
        <v>62</v>
      </c>
      <c r="C12" s="51">
        <v>0.21</v>
      </c>
      <c r="D12" s="51">
        <v>0.21</v>
      </c>
      <c r="E12" s="51">
        <v>0.21</v>
      </c>
      <c r="F12" s="51">
        <v>0.192</v>
      </c>
      <c r="G12" s="51">
        <v>0.192</v>
      </c>
      <c r="H12" s="51">
        <v>0.192</v>
      </c>
      <c r="I12" s="51">
        <v>0.22800000000000001</v>
      </c>
      <c r="J12" s="51">
        <v>0.22800000000000001</v>
      </c>
      <c r="K12" s="51">
        <v>0.22800000000000001</v>
      </c>
      <c r="L12" s="51">
        <v>0.23799999999999999</v>
      </c>
      <c r="M12" s="51">
        <v>0.23799999999999999</v>
      </c>
      <c r="N12" s="51">
        <v>0.23799999999999999</v>
      </c>
    </row>
    <row r="13" spans="2:14" x14ac:dyDescent="0.2">
      <c r="B13" s="49" t="s">
        <v>63</v>
      </c>
      <c r="C13" s="51">
        <v>0.23499999999999999</v>
      </c>
      <c r="D13" s="51">
        <v>0.23499999999999999</v>
      </c>
      <c r="E13" s="51">
        <v>0.23499999999999999</v>
      </c>
      <c r="F13" s="51">
        <v>0.22800000000000001</v>
      </c>
      <c r="G13" s="51">
        <v>0.22800000000000001</v>
      </c>
      <c r="H13" s="51">
        <v>0.22800000000000001</v>
      </c>
      <c r="I13" s="51">
        <v>0.23400000000000001</v>
      </c>
      <c r="J13" s="51">
        <v>0.23400000000000001</v>
      </c>
      <c r="K13" s="51">
        <v>0.23400000000000001</v>
      </c>
      <c r="L13" s="51">
        <f>IF(N13="","",N13)</f>
        <v>0.27200000000000002</v>
      </c>
      <c r="M13" s="51">
        <f>IF(N13="","",N13)</f>
        <v>0.27200000000000002</v>
      </c>
      <c r="N13" s="52">
        <v>0.27200000000000002</v>
      </c>
    </row>
    <row r="14" spans="2:14" x14ac:dyDescent="0.2">
      <c r="B14" s="49" t="s">
        <v>64</v>
      </c>
      <c r="C14" s="51">
        <v>0.245</v>
      </c>
      <c r="D14" s="51">
        <v>0.245</v>
      </c>
      <c r="E14" s="51">
        <v>0.245</v>
      </c>
      <c r="F14" s="51">
        <v>0.26700000000000002</v>
      </c>
      <c r="G14" s="51">
        <v>0.26700000000000002</v>
      </c>
      <c r="H14" s="51">
        <v>0.26700000000000002</v>
      </c>
      <c r="I14" s="51">
        <v>0.28699999999999998</v>
      </c>
      <c r="J14" s="51">
        <v>0.28699999999999998</v>
      </c>
      <c r="K14" s="51">
        <v>0.28699999999999998</v>
      </c>
      <c r="L14" s="51">
        <v>0.27600000000000002</v>
      </c>
      <c r="M14" s="51">
        <v>0.27600000000000002</v>
      </c>
      <c r="N14" s="52">
        <v>0.27600000000000002</v>
      </c>
    </row>
    <row r="15" spans="2:14" x14ac:dyDescent="0.2">
      <c r="B15" s="49" t="s">
        <v>65</v>
      </c>
      <c r="C15" s="51">
        <v>0.28000000000000003</v>
      </c>
      <c r="D15" s="51">
        <v>0.28000000000000003</v>
      </c>
      <c r="E15" s="51">
        <v>0.28000000000000003</v>
      </c>
      <c r="F15" s="51">
        <v>0.30199999999999999</v>
      </c>
      <c r="G15" s="51">
        <v>0.30199999999999999</v>
      </c>
      <c r="H15" s="51">
        <v>0.30199999999999999</v>
      </c>
      <c r="I15" s="51">
        <v>0.28399999999999997</v>
      </c>
      <c r="J15" s="51">
        <v>0.28399999999999997</v>
      </c>
      <c r="K15" s="51">
        <v>0.28399999999999997</v>
      </c>
      <c r="L15" s="51">
        <v>0.34599999999999997</v>
      </c>
      <c r="M15" s="51">
        <v>0.34599999999999997</v>
      </c>
      <c r="N15" s="52">
        <v>0.34599999999999997</v>
      </c>
    </row>
    <row r="16" spans="2:14" x14ac:dyDescent="0.2">
      <c r="B16" s="49" t="s">
        <v>66</v>
      </c>
      <c r="C16" s="51">
        <v>0.314</v>
      </c>
      <c r="D16" s="51">
        <v>0.314</v>
      </c>
      <c r="E16" s="51">
        <v>0.314</v>
      </c>
      <c r="F16" s="51">
        <v>0.30299999999999999</v>
      </c>
      <c r="G16" s="51">
        <v>0.30299999999999999</v>
      </c>
      <c r="H16" s="51">
        <v>0.30299999999999999</v>
      </c>
      <c r="I16" s="51">
        <v>0.26</v>
      </c>
      <c r="J16" s="51">
        <v>0.26</v>
      </c>
      <c r="K16" s="51">
        <v>0.26</v>
      </c>
      <c r="L16" s="51">
        <v>0.23699999999999999</v>
      </c>
      <c r="M16" s="51">
        <v>0.23699999999999999</v>
      </c>
      <c r="N16" s="52">
        <v>0.23699999999999999</v>
      </c>
    </row>
    <row r="17" spans="2:14" x14ac:dyDescent="0.2">
      <c r="B17" s="49" t="s">
        <v>67</v>
      </c>
      <c r="C17" s="51">
        <v>0.28499999999999998</v>
      </c>
      <c r="D17" s="51">
        <v>0.28499999999999998</v>
      </c>
      <c r="E17" s="51">
        <v>0.28499999999999998</v>
      </c>
      <c r="F17" s="51">
        <v>0.255</v>
      </c>
      <c r="G17" s="51">
        <v>0.255</v>
      </c>
      <c r="H17" s="51">
        <v>0.255</v>
      </c>
      <c r="I17" s="51">
        <v>0.25800000000000001</v>
      </c>
      <c r="J17" s="51">
        <v>0.25800000000000001</v>
      </c>
      <c r="K17" s="51">
        <v>0.25800000000000001</v>
      </c>
      <c r="L17" s="51">
        <v>0.27100000000000002</v>
      </c>
      <c r="M17" s="51">
        <v>0.27100000000000002</v>
      </c>
      <c r="N17" s="52">
        <v>0.27100000000000002</v>
      </c>
    </row>
    <row r="18" spans="2:14" x14ac:dyDescent="0.2">
      <c r="B18" s="49" t="s">
        <v>68</v>
      </c>
      <c r="C18" s="51">
        <v>0.245</v>
      </c>
      <c r="D18" s="51">
        <v>0.245</v>
      </c>
      <c r="E18" s="51">
        <v>0.245</v>
      </c>
      <c r="F18" s="51">
        <v>0.25700000000000001</v>
      </c>
      <c r="G18" s="51">
        <v>0.25700000000000001</v>
      </c>
      <c r="H18" s="51">
        <v>0.25700000000000001</v>
      </c>
      <c r="I18" s="51">
        <v>0.26600000000000001</v>
      </c>
      <c r="J18" s="51">
        <v>0.26600000000000001</v>
      </c>
      <c r="K18" s="51">
        <v>0.26600000000000001</v>
      </c>
      <c r="L18" s="51">
        <v>0.32700000000000001</v>
      </c>
      <c r="M18" s="51">
        <v>0.32700000000000001</v>
      </c>
      <c r="N18" s="52">
        <v>0.32700000000000001</v>
      </c>
    </row>
    <row r="19" spans="2:14" x14ac:dyDescent="0.2">
      <c r="B19" s="49" t="s">
        <v>69</v>
      </c>
      <c r="C19" s="51">
        <v>0.35200000000000004</v>
      </c>
      <c r="D19" s="51">
        <v>0.35200000000000004</v>
      </c>
      <c r="E19" s="51">
        <v>0.35200000000000004</v>
      </c>
      <c r="F19" s="51" t="s">
        <v>70</v>
      </c>
      <c r="G19" s="51" t="s">
        <v>70</v>
      </c>
      <c r="H19" s="51" t="s">
        <v>70</v>
      </c>
      <c r="I19" s="51" t="s">
        <v>70</v>
      </c>
      <c r="J19" s="51" t="s">
        <v>70</v>
      </c>
      <c r="K19" s="51" t="s">
        <v>70</v>
      </c>
      <c r="L19" s="51">
        <v>0.36499999999999999</v>
      </c>
      <c r="M19" s="51">
        <v>0.36499999999999999</v>
      </c>
      <c r="N19" s="52">
        <v>0.36499999999999999</v>
      </c>
    </row>
    <row r="20" spans="2:14" x14ac:dyDescent="0.2">
      <c r="B20" s="49" t="s">
        <v>71</v>
      </c>
      <c r="C20" s="51">
        <v>0.35100000000000003</v>
      </c>
      <c r="D20" s="51">
        <v>0.35100000000000003</v>
      </c>
      <c r="E20" s="51">
        <v>0.35100000000000003</v>
      </c>
      <c r="F20" s="51" t="s">
        <v>70</v>
      </c>
      <c r="G20" s="51" t="s">
        <v>70</v>
      </c>
      <c r="H20" s="51" t="s">
        <v>70</v>
      </c>
      <c r="I20" s="51">
        <v>0.29899999999999999</v>
      </c>
      <c r="J20" s="51">
        <v>0.29899999999999999</v>
      </c>
      <c r="K20" s="51">
        <v>0.29899999999999999</v>
      </c>
      <c r="L20" s="51">
        <v>0.312</v>
      </c>
      <c r="M20" s="51">
        <v>0.312</v>
      </c>
      <c r="N20" s="51">
        <v>0.312</v>
      </c>
    </row>
    <row r="21" spans="2:14" x14ac:dyDescent="0.2">
      <c r="B21" s="49" t="s">
        <v>72</v>
      </c>
      <c r="C21" s="51">
        <v>0.40300000000000002</v>
      </c>
      <c r="D21" s="51">
        <v>0.40300000000000002</v>
      </c>
      <c r="E21" s="51">
        <v>0.40300000000000002</v>
      </c>
      <c r="F21" s="51">
        <v>0.40300000000000002</v>
      </c>
      <c r="G21" s="51">
        <v>0.40300000000000002</v>
      </c>
      <c r="H21" s="51">
        <v>0.40300000000000002</v>
      </c>
      <c r="I21" s="51">
        <v>0.44</v>
      </c>
      <c r="J21" s="51">
        <v>0.44</v>
      </c>
      <c r="K21" s="51">
        <v>0.44</v>
      </c>
      <c r="L21" s="51">
        <v>0.44</v>
      </c>
      <c r="M21" s="51">
        <v>0.44</v>
      </c>
      <c r="N21" s="51">
        <v>0.44</v>
      </c>
    </row>
    <row r="22" spans="2:14" x14ac:dyDescent="0.2">
      <c r="B22" s="53" t="s">
        <v>73</v>
      </c>
      <c r="C22" s="51">
        <v>0.45800000000000002</v>
      </c>
      <c r="D22" s="51">
        <v>0.45800000000000002</v>
      </c>
      <c r="E22" s="51">
        <v>0.45800000000000002</v>
      </c>
      <c r="F22" s="51">
        <v>0.45800000000000002</v>
      </c>
      <c r="G22" s="51">
        <v>0.45800000000000002</v>
      </c>
      <c r="H22" s="51">
        <v>0.45800000000000002</v>
      </c>
      <c r="I22" s="51">
        <v>0.39800000000000002</v>
      </c>
      <c r="J22" s="51">
        <v>0.39800000000000002</v>
      </c>
      <c r="K22" s="51">
        <v>0.39800000000000002</v>
      </c>
      <c r="L22" s="51">
        <v>0.39800000000000002</v>
      </c>
      <c r="M22" s="51">
        <v>0.39800000000000002</v>
      </c>
      <c r="N22" s="51">
        <v>0.39800000000000002</v>
      </c>
    </row>
    <row r="23" spans="2:14" x14ac:dyDescent="0.2">
      <c r="B23" s="53" t="s">
        <v>74</v>
      </c>
      <c r="C23" s="51">
        <v>0.38200000000000001</v>
      </c>
      <c r="D23" s="51">
        <v>0.38200000000000001</v>
      </c>
      <c r="E23" s="51">
        <v>0.38200000000000001</v>
      </c>
      <c r="F23" s="51">
        <v>0.38200000000000001</v>
      </c>
      <c r="G23" s="51">
        <v>0.38200000000000001</v>
      </c>
      <c r="H23" s="51">
        <v>0.38200000000000001</v>
      </c>
      <c r="I23" s="51">
        <v>0.375</v>
      </c>
      <c r="J23" s="51">
        <v>0.375</v>
      </c>
      <c r="K23" s="51">
        <v>0.375</v>
      </c>
      <c r="L23" s="51">
        <v>0.375</v>
      </c>
      <c r="M23" s="51">
        <v>0.375</v>
      </c>
      <c r="N23" s="51">
        <v>0.375</v>
      </c>
    </row>
    <row r="24" spans="2:14" x14ac:dyDescent="0.2">
      <c r="B24" s="53" t="s">
        <v>75</v>
      </c>
      <c r="C24" s="51">
        <v>0.36499999999999999</v>
      </c>
      <c r="D24" s="51">
        <v>0.36499999999999999</v>
      </c>
      <c r="E24" s="51">
        <v>0.36499999999999999</v>
      </c>
      <c r="F24" s="51">
        <v>0.36499999999999999</v>
      </c>
      <c r="G24" s="51">
        <v>0.36499999999999999</v>
      </c>
      <c r="H24" s="51">
        <v>0.36499999999999999</v>
      </c>
      <c r="I24" s="54"/>
      <c r="J24" s="54"/>
      <c r="K24" s="54"/>
      <c r="L24" s="54"/>
      <c r="M24" s="54"/>
      <c r="N24" s="54"/>
    </row>
    <row r="26" spans="2:14" x14ac:dyDescent="0.2">
      <c r="B26" s="46" t="s">
        <v>76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spans="2:14" x14ac:dyDescent="0.2">
      <c r="B27" s="46" t="s">
        <v>77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2:14" x14ac:dyDescent="0.2">
      <c r="B28" s="118" t="s">
        <v>78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</row>
    <row r="29" spans="2:14" x14ac:dyDescent="0.2">
      <c r="B29" s="46" t="s">
        <v>79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</sheetData>
  <mergeCells count="1">
    <mergeCell ref="B28:M28"/>
  </mergeCells>
  <conditionalFormatting sqref="N13:N19">
    <cfRule type="cellIs" dxfId="5" priority="1" operator="equal">
      <formula>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C63F-8B78-4E49-BC70-193B594A1F42}">
  <dimension ref="B2:Z36"/>
  <sheetViews>
    <sheetView tabSelected="1" workbookViewId="0">
      <selection activeCell="F40" sqref="F40"/>
    </sheetView>
  </sheetViews>
  <sheetFormatPr baseColWidth="10" defaultRowHeight="12.75" x14ac:dyDescent="0.2"/>
  <cols>
    <col min="1" max="1" width="7.5703125" customWidth="1"/>
    <col min="2" max="2" width="52.28515625" customWidth="1"/>
    <col min="3" max="3" width="1.140625" customWidth="1"/>
    <col min="4" max="7" width="14" customWidth="1"/>
    <col min="8" max="8" width="15.42578125" bestFit="1" customWidth="1"/>
    <col min="9" max="9" width="1.140625" customWidth="1"/>
    <col min="10" max="10" width="14.42578125" bestFit="1" customWidth="1"/>
    <col min="11" max="11" width="14.140625" customWidth="1"/>
    <col min="12" max="13" width="15.140625" customWidth="1"/>
    <col min="14" max="14" width="16.85546875" bestFit="1" customWidth="1"/>
    <col min="15" max="15" width="1.140625" customWidth="1"/>
    <col min="16" max="16" width="14.140625" bestFit="1" customWidth="1"/>
    <col min="17" max="17" width="14.140625" customWidth="1"/>
    <col min="18" max="19" width="15" customWidth="1"/>
    <col min="20" max="20" width="14.140625" bestFit="1" customWidth="1"/>
    <col min="21" max="21" width="1.140625" customWidth="1"/>
    <col min="22" max="22" width="12.140625" bestFit="1" customWidth="1"/>
    <col min="26" max="26" width="12.42578125" bestFit="1" customWidth="1"/>
  </cols>
  <sheetData>
    <row r="2" spans="2:26" ht="15" x14ac:dyDescent="0.25">
      <c r="B2" s="43" t="s">
        <v>80</v>
      </c>
      <c r="C2" s="55"/>
      <c r="D2" s="56"/>
      <c r="E2" s="56"/>
      <c r="F2" s="56"/>
      <c r="G2" s="56"/>
      <c r="H2" s="56"/>
    </row>
    <row r="3" spans="2:26" ht="15" x14ac:dyDescent="0.25">
      <c r="B3" s="57"/>
      <c r="C3" s="57"/>
      <c r="D3" s="56"/>
      <c r="E3" s="56"/>
      <c r="F3" s="56"/>
      <c r="G3" s="56"/>
      <c r="H3" s="56"/>
    </row>
    <row r="4" spans="2:26" ht="15" x14ac:dyDescent="0.25">
      <c r="B4" s="57"/>
      <c r="C4" s="57"/>
      <c r="D4" s="119" t="s">
        <v>81</v>
      </c>
      <c r="E4" s="120"/>
      <c r="F4" s="120"/>
      <c r="G4" s="120"/>
      <c r="H4" s="121"/>
      <c r="J4" s="119" t="s">
        <v>82</v>
      </c>
      <c r="K4" s="120"/>
      <c r="L4" s="120"/>
      <c r="M4" s="120"/>
      <c r="N4" s="121"/>
      <c r="P4" s="119" t="s">
        <v>83</v>
      </c>
      <c r="Q4" s="120"/>
      <c r="R4" s="120"/>
      <c r="S4" s="120"/>
      <c r="T4" s="121"/>
      <c r="V4" s="119" t="s">
        <v>84</v>
      </c>
      <c r="W4" s="120"/>
      <c r="X4" s="120"/>
      <c r="Y4" s="120"/>
      <c r="Z4" s="121"/>
    </row>
    <row r="5" spans="2:26" ht="51" x14ac:dyDescent="0.2">
      <c r="B5" s="58" t="s">
        <v>49</v>
      </c>
      <c r="C5" s="59"/>
      <c r="D5" s="60" t="s">
        <v>85</v>
      </c>
      <c r="E5" s="60" t="s">
        <v>86</v>
      </c>
      <c r="F5" s="60" t="s">
        <v>87</v>
      </c>
      <c r="G5" s="60" t="s">
        <v>88</v>
      </c>
      <c r="H5" s="58" t="s">
        <v>89</v>
      </c>
      <c r="I5" s="61"/>
      <c r="J5" s="60" t="s">
        <v>85</v>
      </c>
      <c r="K5" s="60" t="s">
        <v>86</v>
      </c>
      <c r="L5" s="60" t="s">
        <v>87</v>
      </c>
      <c r="M5" s="60" t="s">
        <v>88</v>
      </c>
      <c r="N5" s="62" t="s">
        <v>90</v>
      </c>
      <c r="O5" s="61"/>
      <c r="P5" s="60" t="s">
        <v>85</v>
      </c>
      <c r="Q5" s="60" t="s">
        <v>86</v>
      </c>
      <c r="R5" s="60" t="s">
        <v>87</v>
      </c>
      <c r="S5" s="60" t="s">
        <v>88</v>
      </c>
      <c r="T5" s="60" t="s">
        <v>91</v>
      </c>
      <c r="U5" s="63"/>
      <c r="V5" s="60" t="s">
        <v>85</v>
      </c>
      <c r="W5" s="60" t="s">
        <v>86</v>
      </c>
      <c r="X5" s="60" t="s">
        <v>87</v>
      </c>
      <c r="Y5" s="60" t="s">
        <v>88</v>
      </c>
      <c r="Z5" s="60" t="s">
        <v>92</v>
      </c>
    </row>
    <row r="6" spans="2:26" ht="15" x14ac:dyDescent="0.25">
      <c r="B6" s="64">
        <v>2010</v>
      </c>
      <c r="C6" s="57"/>
      <c r="D6" s="65">
        <v>1369872975</v>
      </c>
      <c r="E6" s="65">
        <v>379409686</v>
      </c>
      <c r="F6" s="65">
        <v>54449148</v>
      </c>
      <c r="G6" s="65"/>
      <c r="H6" s="65">
        <v>1803731809</v>
      </c>
      <c r="J6" s="65">
        <v>921884617</v>
      </c>
      <c r="K6" s="65">
        <v>221097221</v>
      </c>
      <c r="L6" s="65">
        <v>44373395</v>
      </c>
      <c r="M6" s="65"/>
      <c r="N6" s="65">
        <v>1187355233</v>
      </c>
      <c r="P6" s="65">
        <v>447988358</v>
      </c>
      <c r="Q6" s="65">
        <v>158312465</v>
      </c>
      <c r="R6" s="65">
        <v>10075753</v>
      </c>
      <c r="S6" s="65"/>
      <c r="T6" s="65">
        <v>616376576</v>
      </c>
      <c r="V6" s="65" t="s">
        <v>93</v>
      </c>
      <c r="W6" s="65" t="s">
        <v>93</v>
      </c>
      <c r="X6" s="65" t="s">
        <v>93</v>
      </c>
      <c r="Y6" s="65"/>
      <c r="Z6" s="65" t="s">
        <v>93</v>
      </c>
    </row>
    <row r="7" spans="2:26" ht="15" x14ac:dyDescent="0.25">
      <c r="B7" s="64">
        <v>2011</v>
      </c>
      <c r="C7" s="57"/>
      <c r="D7" s="65">
        <v>1285306478</v>
      </c>
      <c r="E7" s="65">
        <v>389332432</v>
      </c>
      <c r="F7" s="65">
        <v>52575580</v>
      </c>
      <c r="G7" s="65"/>
      <c r="H7" s="65">
        <v>1727214490</v>
      </c>
      <c r="J7" s="65">
        <v>832609904</v>
      </c>
      <c r="K7" s="65">
        <v>214462519</v>
      </c>
      <c r="L7" s="65">
        <v>40811599</v>
      </c>
      <c r="M7" s="65"/>
      <c r="N7" s="65">
        <v>1087884022</v>
      </c>
      <c r="P7" s="65">
        <v>452696574</v>
      </c>
      <c r="Q7" s="65">
        <v>174869913</v>
      </c>
      <c r="R7" s="65">
        <v>11763981</v>
      </c>
      <c r="S7" s="65"/>
      <c r="T7" s="65">
        <v>639330468</v>
      </c>
      <c r="V7" s="65" t="s">
        <v>93</v>
      </c>
      <c r="W7" s="65" t="s">
        <v>93</v>
      </c>
      <c r="X7" s="65" t="s">
        <v>93</v>
      </c>
      <c r="Y7" s="65"/>
      <c r="Z7" s="65" t="s">
        <v>93</v>
      </c>
    </row>
    <row r="8" spans="2:26" ht="15" x14ac:dyDescent="0.25">
      <c r="B8" s="64">
        <v>2012</v>
      </c>
      <c r="C8" s="57"/>
      <c r="D8" s="65">
        <v>1244598624</v>
      </c>
      <c r="E8" s="65">
        <v>390657313</v>
      </c>
      <c r="F8" s="65">
        <v>49076655</v>
      </c>
      <c r="G8" s="65"/>
      <c r="H8" s="65">
        <v>1684332592</v>
      </c>
      <c r="J8" s="65">
        <v>789846128</v>
      </c>
      <c r="K8" s="65">
        <v>209514006</v>
      </c>
      <c r="L8" s="65">
        <v>36163628</v>
      </c>
      <c r="M8" s="65"/>
      <c r="N8" s="65">
        <v>1035523762</v>
      </c>
      <c r="P8" s="65">
        <v>454752496</v>
      </c>
      <c r="Q8" s="65">
        <v>181143307</v>
      </c>
      <c r="R8" s="65">
        <v>12913027</v>
      </c>
      <c r="S8" s="65"/>
      <c r="T8" s="65">
        <v>648808830</v>
      </c>
      <c r="V8" s="65" t="s">
        <v>93</v>
      </c>
      <c r="W8" s="65" t="s">
        <v>93</v>
      </c>
      <c r="X8" s="65" t="s">
        <v>93</v>
      </c>
      <c r="Y8" s="65"/>
      <c r="Z8" s="65" t="s">
        <v>93</v>
      </c>
    </row>
    <row r="9" spans="2:26" ht="15" x14ac:dyDescent="0.25">
      <c r="B9" s="64">
        <v>2013</v>
      </c>
      <c r="C9" s="57"/>
      <c r="D9" s="65">
        <v>1235248124</v>
      </c>
      <c r="E9" s="65">
        <v>394695397</v>
      </c>
      <c r="F9" s="65">
        <v>48019131</v>
      </c>
      <c r="G9" s="65"/>
      <c r="H9" s="65">
        <v>1677962652</v>
      </c>
      <c r="J9" s="65">
        <v>768959828</v>
      </c>
      <c r="K9" s="65">
        <v>207198079</v>
      </c>
      <c r="L9" s="65">
        <v>34134411</v>
      </c>
      <c r="M9" s="65"/>
      <c r="N9" s="65">
        <v>1010292318</v>
      </c>
      <c r="P9" s="65">
        <v>466288296</v>
      </c>
      <c r="Q9" s="65">
        <v>187497318</v>
      </c>
      <c r="R9" s="65">
        <v>13884720</v>
      </c>
      <c r="S9" s="65"/>
      <c r="T9" s="65">
        <v>667670334</v>
      </c>
      <c r="V9" s="65" t="s">
        <v>93</v>
      </c>
      <c r="W9" s="65" t="s">
        <v>93</v>
      </c>
      <c r="X9" s="65" t="s">
        <v>93</v>
      </c>
      <c r="Y9" s="65"/>
      <c r="Z9" s="65" t="s">
        <v>93</v>
      </c>
    </row>
    <row r="10" spans="2:26" ht="15" x14ac:dyDescent="0.25">
      <c r="B10" s="66">
        <v>2014</v>
      </c>
      <c r="C10" s="57"/>
      <c r="D10" s="65">
        <v>1209627060</v>
      </c>
      <c r="E10" s="67">
        <v>385630041</v>
      </c>
      <c r="F10" s="65">
        <v>46234427</v>
      </c>
      <c r="G10" s="67"/>
      <c r="H10" s="67">
        <v>1641491528</v>
      </c>
      <c r="J10" s="65">
        <v>742868612</v>
      </c>
      <c r="K10" s="65">
        <v>197949143</v>
      </c>
      <c r="L10" s="65">
        <v>31941099</v>
      </c>
      <c r="M10" s="67"/>
      <c r="N10" s="67">
        <v>972758854</v>
      </c>
      <c r="P10" s="67">
        <v>466758448</v>
      </c>
      <c r="Q10" s="67">
        <v>187680898</v>
      </c>
      <c r="R10" s="65">
        <v>14293328</v>
      </c>
      <c r="S10" s="67"/>
      <c r="T10" s="67">
        <v>668732674</v>
      </c>
      <c r="V10" s="67" t="s">
        <v>93</v>
      </c>
      <c r="W10" s="67" t="s">
        <v>93</v>
      </c>
      <c r="X10" s="67" t="s">
        <v>93</v>
      </c>
      <c r="Y10" s="67"/>
      <c r="Z10" s="67" t="s">
        <v>93</v>
      </c>
    </row>
    <row r="11" spans="2:26" ht="15" x14ac:dyDescent="0.25">
      <c r="B11" s="66">
        <v>2015</v>
      </c>
      <c r="C11" s="57"/>
      <c r="D11" s="65">
        <v>1161048525</v>
      </c>
      <c r="E11" s="67">
        <v>381954899</v>
      </c>
      <c r="F11" s="65">
        <v>40329600</v>
      </c>
      <c r="G11" s="67"/>
      <c r="H11" s="67">
        <v>1583333024</v>
      </c>
      <c r="J11" s="65">
        <v>700778083</v>
      </c>
      <c r="K11" s="65">
        <v>192610324</v>
      </c>
      <c r="L11" s="65">
        <v>28134160</v>
      </c>
      <c r="M11" s="67"/>
      <c r="N11" s="67">
        <v>921522567</v>
      </c>
      <c r="P11" s="67">
        <v>460270442</v>
      </c>
      <c r="Q11" s="67">
        <v>189344575</v>
      </c>
      <c r="R11" s="67">
        <v>12195440</v>
      </c>
      <c r="S11" s="67"/>
      <c r="T11" s="67">
        <v>661810457</v>
      </c>
      <c r="V11" s="67" t="s">
        <v>93</v>
      </c>
      <c r="W11" s="67" t="s">
        <v>93</v>
      </c>
      <c r="X11" s="67" t="s">
        <v>93</v>
      </c>
      <c r="Y11" s="67"/>
      <c r="Z11" s="67" t="s">
        <v>93</v>
      </c>
    </row>
    <row r="12" spans="2:26" ht="15" x14ac:dyDescent="0.25">
      <c r="B12" s="66">
        <v>2016</v>
      </c>
      <c r="C12" s="57"/>
      <c r="D12" s="65">
        <v>1138245968</v>
      </c>
      <c r="E12" s="67">
        <v>374876369</v>
      </c>
      <c r="F12" s="65">
        <v>39809221</v>
      </c>
      <c r="G12" s="67"/>
      <c r="H12" s="67">
        <v>1552931558</v>
      </c>
      <c r="J12" s="65">
        <v>671813069</v>
      </c>
      <c r="K12" s="65">
        <v>182026759</v>
      </c>
      <c r="L12" s="65">
        <v>27144214</v>
      </c>
      <c r="M12" s="67"/>
      <c r="N12" s="67">
        <v>880984042</v>
      </c>
      <c r="P12" s="67">
        <v>466432899</v>
      </c>
      <c r="Q12" s="67">
        <v>192849610</v>
      </c>
      <c r="R12" s="67">
        <v>12665007</v>
      </c>
      <c r="S12" s="67"/>
      <c r="T12" s="67">
        <v>671947516</v>
      </c>
      <c r="V12" s="67" t="s">
        <v>93</v>
      </c>
      <c r="W12" s="67" t="s">
        <v>93</v>
      </c>
      <c r="X12" s="67" t="s">
        <v>93</v>
      </c>
      <c r="Y12" s="67"/>
      <c r="Z12" s="67" t="s">
        <v>93</v>
      </c>
    </row>
    <row r="13" spans="2:26" ht="15" x14ac:dyDescent="0.25">
      <c r="B13" s="66">
        <v>2017</v>
      </c>
      <c r="C13" s="57"/>
      <c r="D13" s="65">
        <v>1153643058</v>
      </c>
      <c r="E13" s="68">
        <v>363908324</v>
      </c>
      <c r="F13" s="65">
        <v>44829530</v>
      </c>
      <c r="G13" s="67"/>
      <c r="H13" s="68">
        <v>1562380912</v>
      </c>
      <c r="J13" s="65">
        <v>664893776</v>
      </c>
      <c r="K13" s="65">
        <v>173427938</v>
      </c>
      <c r="L13" s="65">
        <v>29782642</v>
      </c>
      <c r="M13" s="67"/>
      <c r="N13" s="69">
        <v>868104356</v>
      </c>
      <c r="P13" s="67">
        <v>483011334</v>
      </c>
      <c r="Q13" s="70">
        <v>188335611</v>
      </c>
      <c r="R13" s="67">
        <v>14838491</v>
      </c>
      <c r="S13" s="67"/>
      <c r="T13" s="70">
        <v>686185436</v>
      </c>
      <c r="V13" s="70">
        <v>5737948</v>
      </c>
      <c r="W13" s="70">
        <v>2144775</v>
      </c>
      <c r="X13" s="70">
        <v>208397</v>
      </c>
      <c r="Y13" s="70"/>
      <c r="Z13" s="70">
        <v>8091120</v>
      </c>
    </row>
    <row r="14" spans="2:26" ht="15" x14ac:dyDescent="0.25">
      <c r="B14" s="66">
        <v>2018</v>
      </c>
      <c r="C14" s="57"/>
      <c r="D14" s="65">
        <v>1210464858</v>
      </c>
      <c r="E14" s="65">
        <v>364472275</v>
      </c>
      <c r="F14" s="65">
        <v>56135355</v>
      </c>
      <c r="G14" s="67"/>
      <c r="H14" s="68">
        <v>1631072488</v>
      </c>
      <c r="J14" s="65">
        <v>678846688</v>
      </c>
      <c r="K14" s="65">
        <v>175779515</v>
      </c>
      <c r="L14" s="65">
        <v>36900504</v>
      </c>
      <c r="M14" s="67"/>
      <c r="N14" s="69">
        <v>891526707</v>
      </c>
      <c r="P14" s="67">
        <v>517898622</v>
      </c>
      <c r="Q14" s="70">
        <v>183713585</v>
      </c>
      <c r="R14" s="67">
        <v>18562948</v>
      </c>
      <c r="S14" s="67"/>
      <c r="T14" s="70">
        <v>720175155</v>
      </c>
      <c r="V14" s="70">
        <v>13719548</v>
      </c>
      <c r="W14" s="70">
        <v>4979175</v>
      </c>
      <c r="X14" s="70">
        <v>671903</v>
      </c>
      <c r="Y14" s="70"/>
      <c r="Z14" s="70">
        <v>19370626</v>
      </c>
    </row>
    <row r="15" spans="2:26" ht="15" x14ac:dyDescent="0.25">
      <c r="B15" s="64">
        <v>2019</v>
      </c>
      <c r="C15" s="57"/>
      <c r="D15" s="71">
        <v>1108609648</v>
      </c>
      <c r="E15" s="71">
        <v>342195068</v>
      </c>
      <c r="F15" s="71">
        <v>64203347</v>
      </c>
      <c r="G15" s="71" t="s">
        <v>93</v>
      </c>
      <c r="H15" s="72">
        <v>1515008063</v>
      </c>
      <c r="J15" s="71">
        <v>590586491</v>
      </c>
      <c r="K15" s="71">
        <v>157626546</v>
      </c>
      <c r="L15" s="71">
        <v>40739117</v>
      </c>
      <c r="M15" s="71" t="s">
        <v>93</v>
      </c>
      <c r="N15" s="72">
        <v>788952154</v>
      </c>
      <c r="P15" s="71">
        <v>502378894</v>
      </c>
      <c r="Q15" s="71">
        <v>178920406</v>
      </c>
      <c r="R15" s="71">
        <v>22403352</v>
      </c>
      <c r="S15" s="71" t="s">
        <v>93</v>
      </c>
      <c r="T15" s="71">
        <v>703702652</v>
      </c>
      <c r="V15" s="71">
        <v>15644263</v>
      </c>
      <c r="W15" s="71">
        <v>5648116</v>
      </c>
      <c r="X15" s="71">
        <v>1060878</v>
      </c>
      <c r="Y15" s="71" t="s">
        <v>93</v>
      </c>
      <c r="Z15" s="71">
        <v>22353257</v>
      </c>
    </row>
    <row r="16" spans="2:26" ht="15" x14ac:dyDescent="0.25">
      <c r="B16" s="64">
        <v>2020</v>
      </c>
      <c r="C16" s="57"/>
      <c r="D16" s="71">
        <v>436119685</v>
      </c>
      <c r="E16" s="71">
        <v>89295231</v>
      </c>
      <c r="F16" s="71">
        <v>30666140</v>
      </c>
      <c r="G16" s="71">
        <v>14258707</v>
      </c>
      <c r="H16" s="71">
        <v>570339763</v>
      </c>
      <c r="J16" s="68">
        <v>228041724</v>
      </c>
      <c r="K16" s="68">
        <v>46193081</v>
      </c>
      <c r="L16" s="68">
        <v>19024629</v>
      </c>
      <c r="M16" s="68">
        <v>2913627</v>
      </c>
      <c r="N16" s="68">
        <v>296173061</v>
      </c>
      <c r="P16" s="68">
        <v>199917287</v>
      </c>
      <c r="Q16" s="68">
        <v>41124767</v>
      </c>
      <c r="R16" s="68">
        <v>11026529</v>
      </c>
      <c r="S16" s="68">
        <v>11295692</v>
      </c>
      <c r="T16" s="68">
        <v>263364275</v>
      </c>
      <c r="V16" s="68">
        <v>8160674</v>
      </c>
      <c r="W16" s="68">
        <v>1977383</v>
      </c>
      <c r="X16" s="68">
        <v>614982</v>
      </c>
      <c r="Y16" s="68">
        <v>49388</v>
      </c>
      <c r="Z16" s="68">
        <v>10802427</v>
      </c>
    </row>
    <row r="17" spans="2:26" ht="15" x14ac:dyDescent="0.25">
      <c r="B17" s="64">
        <v>2021</v>
      </c>
      <c r="C17" s="57"/>
      <c r="D17" s="71">
        <v>586101117</v>
      </c>
      <c r="E17" s="71">
        <v>94639208</v>
      </c>
      <c r="F17" s="71">
        <v>28843421</v>
      </c>
      <c r="G17" s="71">
        <v>44037345</v>
      </c>
      <c r="H17" s="71">
        <v>753621091</v>
      </c>
      <c r="J17" s="68">
        <v>294392780</v>
      </c>
      <c r="K17" s="68">
        <v>46819280</v>
      </c>
      <c r="L17" s="68">
        <v>16451451</v>
      </c>
      <c r="M17" s="68">
        <v>23161174</v>
      </c>
      <c r="N17" s="68">
        <v>380824685</v>
      </c>
      <c r="P17" s="68">
        <v>281032559</v>
      </c>
      <c r="Q17" s="68">
        <v>45984136</v>
      </c>
      <c r="R17" s="68">
        <v>11849548</v>
      </c>
      <c r="S17" s="68">
        <v>20501174</v>
      </c>
      <c r="T17" s="68">
        <v>359367417</v>
      </c>
      <c r="V17" s="68">
        <v>10675778</v>
      </c>
      <c r="W17" s="68">
        <v>1835792</v>
      </c>
      <c r="X17" s="68">
        <v>542422</v>
      </c>
      <c r="Y17" s="68">
        <v>374997</v>
      </c>
      <c r="Z17" s="68">
        <v>13428989</v>
      </c>
    </row>
    <row r="18" spans="2:26" ht="15" x14ac:dyDescent="0.25">
      <c r="B18" s="73">
        <v>2022</v>
      </c>
      <c r="C18" s="74"/>
      <c r="D18" s="68">
        <v>690354495</v>
      </c>
      <c r="E18" s="68">
        <v>198127757</v>
      </c>
      <c r="F18" s="68">
        <v>48167197</v>
      </c>
      <c r="G18" s="68">
        <v>77775678</v>
      </c>
      <c r="H18" s="68">
        <v>1014425127</v>
      </c>
      <c r="I18" s="75"/>
      <c r="J18" s="68">
        <v>322357203</v>
      </c>
      <c r="K18" s="68">
        <v>87370018</v>
      </c>
      <c r="L18" s="68">
        <v>25718079</v>
      </c>
      <c r="M18" s="68">
        <v>41229274</v>
      </c>
      <c r="N18" s="68">
        <v>476674574</v>
      </c>
      <c r="O18" s="75"/>
      <c r="P18" s="68">
        <v>354929315</v>
      </c>
      <c r="Q18" s="68">
        <v>106531711</v>
      </c>
      <c r="R18" s="68">
        <v>21471504</v>
      </c>
      <c r="S18" s="68">
        <v>35708527</v>
      </c>
      <c r="T18" s="68">
        <v>518641057</v>
      </c>
      <c r="U18" s="75"/>
      <c r="V18" s="68">
        <v>13067977</v>
      </c>
      <c r="W18" s="68">
        <v>4226028</v>
      </c>
      <c r="X18" s="68">
        <v>977614</v>
      </c>
      <c r="Y18" s="68">
        <v>837877</v>
      </c>
      <c r="Z18" s="68">
        <v>19109496</v>
      </c>
    </row>
    <row r="19" spans="2:26" ht="15" x14ac:dyDescent="0.25">
      <c r="B19" s="73">
        <v>2023</v>
      </c>
      <c r="C19" s="74"/>
      <c r="D19" s="68">
        <v>805249248</v>
      </c>
      <c r="E19" s="68">
        <v>230901723</v>
      </c>
      <c r="F19" s="68">
        <v>61613271</v>
      </c>
      <c r="G19" s="68">
        <v>112707711</v>
      </c>
      <c r="H19" s="68">
        <v>1210471953</v>
      </c>
      <c r="I19" s="75"/>
      <c r="J19" s="68">
        <v>386710160</v>
      </c>
      <c r="K19" s="68">
        <v>105241227</v>
      </c>
      <c r="L19" s="68">
        <v>33593709</v>
      </c>
      <c r="M19" s="68">
        <v>63013917</v>
      </c>
      <c r="N19" s="68">
        <v>588559013</v>
      </c>
      <c r="O19" s="75"/>
      <c r="P19" s="68">
        <v>403632229</v>
      </c>
      <c r="Q19" s="68">
        <v>120497588</v>
      </c>
      <c r="R19" s="68">
        <v>26654190</v>
      </c>
      <c r="S19" s="68">
        <v>48306384</v>
      </c>
      <c r="T19" s="68">
        <v>599090391</v>
      </c>
      <c r="U19" s="75"/>
      <c r="V19" s="68">
        <v>14906859</v>
      </c>
      <c r="W19" s="68">
        <v>5162908</v>
      </c>
      <c r="X19" s="68">
        <v>1365372</v>
      </c>
      <c r="Y19" s="68">
        <v>1387410</v>
      </c>
      <c r="Z19" s="68">
        <v>22822549</v>
      </c>
    </row>
    <row r="20" spans="2:26" ht="15" x14ac:dyDescent="0.25">
      <c r="B20" s="73">
        <v>2024</v>
      </c>
      <c r="C20" s="74"/>
      <c r="D20" s="68">
        <v>858149912</v>
      </c>
      <c r="E20" s="68">
        <v>253335113</v>
      </c>
      <c r="F20" s="68">
        <v>73550774</v>
      </c>
      <c r="G20" s="68">
        <v>139193306</v>
      </c>
      <c r="H20" s="68">
        <v>1324229105</v>
      </c>
      <c r="I20" s="75"/>
      <c r="J20" s="68">
        <v>422003553</v>
      </c>
      <c r="K20" s="68">
        <v>120193913</v>
      </c>
      <c r="L20" s="68">
        <v>41338074</v>
      </c>
      <c r="M20" s="68">
        <v>79553932</v>
      </c>
      <c r="N20" s="68">
        <v>663089472</v>
      </c>
      <c r="O20" s="75"/>
      <c r="P20" s="68">
        <v>422692176</v>
      </c>
      <c r="Q20" s="68">
        <v>128454831</v>
      </c>
      <c r="R20" s="68">
        <v>30892084</v>
      </c>
      <c r="S20" s="68">
        <v>58019754</v>
      </c>
      <c r="T20" s="68">
        <v>640058845</v>
      </c>
      <c r="U20" s="75"/>
      <c r="V20" s="68">
        <v>13454183</v>
      </c>
      <c r="W20" s="68">
        <v>4686369</v>
      </c>
      <c r="X20" s="68">
        <v>1320616</v>
      </c>
      <c r="Y20" s="68">
        <v>1619620</v>
      </c>
      <c r="Z20" s="68">
        <v>21080788</v>
      </c>
    </row>
    <row r="21" spans="2:26" ht="15" x14ac:dyDescent="0.25">
      <c r="B21" s="73">
        <v>2025</v>
      </c>
      <c r="C21" s="76"/>
      <c r="D21" s="77">
        <f>SUM(D22:D33)</f>
        <v>866702939</v>
      </c>
      <c r="E21" s="77">
        <f>SUM(E22:E33)</f>
        <v>267408873</v>
      </c>
      <c r="F21" s="77">
        <f>SUM(F22:F33)</f>
        <v>76235555</v>
      </c>
      <c r="G21" s="77">
        <f>SUM(G22:G33)</f>
        <v>157773301</v>
      </c>
      <c r="H21" s="77">
        <f>SUM(H22:H33)</f>
        <v>1368120668</v>
      </c>
      <c r="I21" s="76"/>
      <c r="J21" s="77">
        <f>SUM(J22:J33)</f>
        <v>424721496</v>
      </c>
      <c r="K21" s="77">
        <f>SUM(K22:K33)</f>
        <v>127823151</v>
      </c>
      <c r="L21" s="77">
        <f>SUM(L22:L33)</f>
        <v>42648655</v>
      </c>
      <c r="M21" s="77">
        <f>SUM(M22:M33)</f>
        <v>89860866</v>
      </c>
      <c r="N21" s="77">
        <f>SUM(N22:N33)</f>
        <v>685054168</v>
      </c>
      <c r="O21" s="76"/>
      <c r="P21" s="77">
        <f>SUM(P22:P33)</f>
        <v>428204174</v>
      </c>
      <c r="Q21" s="77">
        <f>SUM(Q22:Q33)</f>
        <v>134617525</v>
      </c>
      <c r="R21" s="77">
        <f>SUM(R22:R33)</f>
        <v>32212897</v>
      </c>
      <c r="S21" s="77">
        <f>SUM(S22:S33)</f>
        <v>65952087</v>
      </c>
      <c r="T21" s="77">
        <f>SUM(T22:T33)</f>
        <v>660986683</v>
      </c>
      <c r="U21" s="76"/>
      <c r="V21" s="77">
        <f>SUM(V22:V33)</f>
        <v>13777269</v>
      </c>
      <c r="W21" s="77">
        <f>SUM(W22:W33)</f>
        <v>4968197</v>
      </c>
      <c r="X21" s="77">
        <f>SUM(X22:X33)</f>
        <v>1374003</v>
      </c>
      <c r="Y21" s="77">
        <f>SUM(Y22:Y33)</f>
        <v>1960348</v>
      </c>
      <c r="Z21" s="77">
        <f>SUM(Z22:Z33)</f>
        <v>22079817</v>
      </c>
    </row>
    <row r="22" spans="2:26" ht="15" x14ac:dyDescent="0.25">
      <c r="B22" s="78">
        <v>45658</v>
      </c>
      <c r="C22" s="75"/>
      <c r="D22" s="71">
        <v>67645370</v>
      </c>
      <c r="E22" s="71">
        <v>16265647</v>
      </c>
      <c r="F22" s="71">
        <v>5858630</v>
      </c>
      <c r="G22" s="71">
        <v>12030028</v>
      </c>
      <c r="H22" s="71">
        <f>SUM(D22:G22)</f>
        <v>101799675</v>
      </c>
      <c r="I22" s="75"/>
      <c r="J22" s="79">
        <v>33690347</v>
      </c>
      <c r="K22" s="79">
        <v>8296658</v>
      </c>
      <c r="L22" s="79">
        <v>3319266</v>
      </c>
      <c r="M22" s="80">
        <v>6936450</v>
      </c>
      <c r="N22" s="81">
        <v>52242721</v>
      </c>
      <c r="O22" s="75"/>
      <c r="P22" s="79">
        <v>32906233</v>
      </c>
      <c r="Q22" s="79">
        <v>7675912</v>
      </c>
      <c r="R22" s="79">
        <v>2432544</v>
      </c>
      <c r="S22" s="79">
        <v>4950187</v>
      </c>
      <c r="T22" s="79">
        <f>SUM(P22:S22)</f>
        <v>47964876</v>
      </c>
      <c r="U22" s="75"/>
      <c r="V22" s="79">
        <v>1048790</v>
      </c>
      <c r="W22" s="79">
        <v>293077</v>
      </c>
      <c r="X22" s="79">
        <v>106820</v>
      </c>
      <c r="Y22" s="79">
        <v>143391</v>
      </c>
      <c r="Z22" s="79">
        <f>SUM(V22:Y22)</f>
        <v>1592078</v>
      </c>
    </row>
    <row r="23" spans="2:26" ht="15" x14ac:dyDescent="0.25">
      <c r="B23" s="78">
        <v>45689</v>
      </c>
      <c r="C23" s="75"/>
      <c r="D23" s="71">
        <v>56209962</v>
      </c>
      <c r="E23" s="71">
        <v>12722846</v>
      </c>
      <c r="F23" s="71">
        <v>4866426</v>
      </c>
      <c r="G23" s="71">
        <v>9897260</v>
      </c>
      <c r="H23" s="71">
        <f t="shared" ref="H23:H33" si="0">SUM(D23:G23)</f>
        <v>83696494</v>
      </c>
      <c r="I23" s="75"/>
      <c r="J23" s="79">
        <v>28002591</v>
      </c>
      <c r="K23" s="79">
        <v>6552276</v>
      </c>
      <c r="L23" s="79">
        <v>2760512</v>
      </c>
      <c r="M23" s="79">
        <v>5757469</v>
      </c>
      <c r="N23" s="82">
        <v>43072848</v>
      </c>
      <c r="O23" s="75"/>
      <c r="P23" s="79">
        <v>27303099</v>
      </c>
      <c r="Q23" s="79">
        <v>5939642</v>
      </c>
      <c r="R23" s="79">
        <v>2016005</v>
      </c>
      <c r="S23" s="79">
        <v>4020798</v>
      </c>
      <c r="T23" s="79">
        <f t="shared" ref="T23:T33" si="1">SUM(P23:S23)</f>
        <v>39279544</v>
      </c>
      <c r="U23" s="75"/>
      <c r="V23" s="79">
        <v>904272</v>
      </c>
      <c r="W23" s="79">
        <v>230928</v>
      </c>
      <c r="X23" s="79">
        <v>89909</v>
      </c>
      <c r="Y23" s="79">
        <v>118993</v>
      </c>
      <c r="Z23" s="79">
        <f t="shared" ref="Z23:Z33" si="2">SUM(V23:Y23)</f>
        <v>1344102</v>
      </c>
    </row>
    <row r="24" spans="2:26" ht="15" x14ac:dyDescent="0.25">
      <c r="B24" s="78">
        <v>45717</v>
      </c>
      <c r="C24" s="75"/>
      <c r="D24" s="71">
        <v>75785063</v>
      </c>
      <c r="E24" s="71">
        <v>24654443</v>
      </c>
      <c r="F24" s="71">
        <v>7008201</v>
      </c>
      <c r="G24" s="71">
        <v>13225274</v>
      </c>
      <c r="H24" s="71">
        <f t="shared" si="0"/>
        <v>120672981</v>
      </c>
      <c r="I24" s="75"/>
      <c r="J24" s="79">
        <v>37542142</v>
      </c>
      <c r="K24" s="79">
        <v>11772855</v>
      </c>
      <c r="L24" s="79">
        <v>3981422</v>
      </c>
      <c r="M24" s="79">
        <v>7595741</v>
      </c>
      <c r="N24" s="82">
        <v>60892160</v>
      </c>
      <c r="O24" s="75"/>
      <c r="P24" s="79">
        <v>37071734</v>
      </c>
      <c r="Q24" s="79">
        <v>12433472</v>
      </c>
      <c r="R24" s="79">
        <v>2903532</v>
      </c>
      <c r="S24" s="79">
        <v>5469920</v>
      </c>
      <c r="T24" s="79">
        <f t="shared" si="1"/>
        <v>57878658</v>
      </c>
      <c r="U24" s="75"/>
      <c r="V24" s="79">
        <v>1171187</v>
      </c>
      <c r="W24" s="79">
        <v>448116</v>
      </c>
      <c r="X24" s="79">
        <v>123247</v>
      </c>
      <c r="Y24" s="79">
        <v>159613</v>
      </c>
      <c r="Z24" s="79">
        <f t="shared" si="2"/>
        <v>1902163</v>
      </c>
    </row>
    <row r="25" spans="2:26" ht="15" x14ac:dyDescent="0.25">
      <c r="B25" s="78">
        <v>45748</v>
      </c>
      <c r="C25" s="75"/>
      <c r="D25" s="71">
        <v>74650921</v>
      </c>
      <c r="E25" s="71">
        <v>26065088</v>
      </c>
      <c r="F25" s="71">
        <v>6933380</v>
      </c>
      <c r="G25" s="71">
        <v>13268337</v>
      </c>
      <c r="H25" s="71">
        <f t="shared" si="0"/>
        <v>120917726</v>
      </c>
      <c r="I25" s="75"/>
      <c r="J25" s="79">
        <v>36810317</v>
      </c>
      <c r="K25" s="79">
        <v>12204310</v>
      </c>
      <c r="L25" s="79">
        <v>3877056</v>
      </c>
      <c r="M25" s="79">
        <v>7577550</v>
      </c>
      <c r="N25" s="82">
        <v>60469233</v>
      </c>
      <c r="O25" s="75"/>
      <c r="P25" s="79">
        <v>36674500</v>
      </c>
      <c r="Q25" s="79">
        <v>13370516</v>
      </c>
      <c r="R25" s="79">
        <v>2932385</v>
      </c>
      <c r="S25" s="79">
        <v>5528360</v>
      </c>
      <c r="T25" s="79">
        <f t="shared" si="1"/>
        <v>58505761</v>
      </c>
      <c r="U25" s="75"/>
      <c r="V25" s="79">
        <v>1166104</v>
      </c>
      <c r="W25" s="79">
        <v>490262</v>
      </c>
      <c r="X25" s="79">
        <v>123939</v>
      </c>
      <c r="Y25" s="79">
        <v>162427</v>
      </c>
      <c r="Z25" s="79">
        <f t="shared" si="2"/>
        <v>1942732</v>
      </c>
    </row>
    <row r="26" spans="2:26" ht="15" x14ac:dyDescent="0.25">
      <c r="B26" s="78">
        <v>45778</v>
      </c>
      <c r="C26" s="75"/>
      <c r="D26" s="71">
        <v>72310427</v>
      </c>
      <c r="E26" s="71">
        <v>25999070</v>
      </c>
      <c r="F26" s="71">
        <v>6693567</v>
      </c>
      <c r="G26" s="71">
        <v>13003134</v>
      </c>
      <c r="H26" s="71">
        <f t="shared" si="0"/>
        <v>118006198</v>
      </c>
      <c r="I26" s="75"/>
      <c r="J26" s="79">
        <v>35261112</v>
      </c>
      <c r="K26" s="79">
        <v>12018251</v>
      </c>
      <c r="L26" s="79">
        <v>3696221</v>
      </c>
      <c r="M26" s="79">
        <v>7369136</v>
      </c>
      <c r="N26" s="82">
        <v>58344720</v>
      </c>
      <c r="O26" s="75"/>
      <c r="P26" s="79">
        <v>35914175</v>
      </c>
      <c r="Q26" s="79">
        <v>13495419</v>
      </c>
      <c r="R26" s="79">
        <v>2877323</v>
      </c>
      <c r="S26" s="79">
        <v>5473702</v>
      </c>
      <c r="T26" s="79">
        <f t="shared" si="1"/>
        <v>57760619</v>
      </c>
      <c r="U26" s="75"/>
      <c r="V26" s="79">
        <v>1135140</v>
      </c>
      <c r="W26" s="79">
        <v>485400</v>
      </c>
      <c r="X26" s="79">
        <v>120023</v>
      </c>
      <c r="Y26" s="79">
        <v>160296</v>
      </c>
      <c r="Z26" s="79">
        <f t="shared" si="2"/>
        <v>1900859</v>
      </c>
    </row>
    <row r="27" spans="2:26" ht="15" x14ac:dyDescent="0.25">
      <c r="B27" s="78">
        <v>45809</v>
      </c>
      <c r="C27" s="75"/>
      <c r="D27" s="71">
        <v>73442348</v>
      </c>
      <c r="E27" s="71">
        <v>20969720</v>
      </c>
      <c r="F27" s="71">
        <v>4578614</v>
      </c>
      <c r="G27" s="71">
        <v>12652589</v>
      </c>
      <c r="H27" s="71">
        <f t="shared" si="0"/>
        <v>111643271</v>
      </c>
      <c r="I27" s="75"/>
      <c r="J27" s="79">
        <v>35589407</v>
      </c>
      <c r="K27" s="79">
        <v>9601587</v>
      </c>
      <c r="L27" s="79">
        <v>2463218</v>
      </c>
      <c r="M27" s="79">
        <v>7134145</v>
      </c>
      <c r="N27" s="82">
        <v>54788357</v>
      </c>
      <c r="O27" s="75"/>
      <c r="P27" s="79">
        <v>36670342</v>
      </c>
      <c r="Q27" s="79">
        <v>10968162</v>
      </c>
      <c r="R27" s="79">
        <v>2031851</v>
      </c>
      <c r="S27" s="79">
        <v>5358133</v>
      </c>
      <c r="T27" s="79">
        <f t="shared" si="1"/>
        <v>55028488</v>
      </c>
      <c r="U27" s="75"/>
      <c r="V27" s="79">
        <v>1182599</v>
      </c>
      <c r="W27" s="79">
        <v>399971</v>
      </c>
      <c r="X27" s="79">
        <v>83545</v>
      </c>
      <c r="Y27" s="79">
        <v>160311</v>
      </c>
      <c r="Z27" s="79">
        <f t="shared" si="2"/>
        <v>1826426</v>
      </c>
    </row>
    <row r="28" spans="2:26" ht="15" x14ac:dyDescent="0.25">
      <c r="B28" s="78">
        <v>45839</v>
      </c>
      <c r="C28" s="75"/>
      <c r="D28" s="71">
        <v>77031121</v>
      </c>
      <c r="E28" s="71">
        <v>19858327</v>
      </c>
      <c r="F28" s="71">
        <v>6134070</v>
      </c>
      <c r="G28" s="71">
        <v>13978108</v>
      </c>
      <c r="H28" s="71">
        <f t="shared" si="0"/>
        <v>117001626</v>
      </c>
      <c r="I28" s="75"/>
      <c r="J28" s="79">
        <v>37646409</v>
      </c>
      <c r="K28" s="79">
        <v>9721249</v>
      </c>
      <c r="L28" s="79">
        <v>3456942</v>
      </c>
      <c r="M28" s="79">
        <v>7924901</v>
      </c>
      <c r="N28" s="82">
        <v>58749501</v>
      </c>
      <c r="O28" s="75"/>
      <c r="P28" s="79">
        <v>38188721</v>
      </c>
      <c r="Q28" s="79">
        <v>9777864</v>
      </c>
      <c r="R28" s="79">
        <v>2572143</v>
      </c>
      <c r="S28" s="79">
        <v>5880764</v>
      </c>
      <c r="T28" s="79">
        <f t="shared" si="1"/>
        <v>56419492</v>
      </c>
      <c r="U28" s="75"/>
      <c r="V28" s="79">
        <v>1195991</v>
      </c>
      <c r="W28" s="79">
        <v>359214</v>
      </c>
      <c r="X28" s="79">
        <v>104985</v>
      </c>
      <c r="Y28" s="79">
        <v>172443</v>
      </c>
      <c r="Z28" s="79">
        <f t="shared" si="2"/>
        <v>1832633</v>
      </c>
    </row>
    <row r="29" spans="2:26" ht="15" x14ac:dyDescent="0.25">
      <c r="B29" s="78">
        <v>45870</v>
      </c>
      <c r="C29" s="75"/>
      <c r="D29" s="71">
        <v>73938065</v>
      </c>
      <c r="E29" s="71">
        <v>24552909</v>
      </c>
      <c r="F29" s="71">
        <v>6640771</v>
      </c>
      <c r="G29" s="71">
        <v>13378060</v>
      </c>
      <c r="H29" s="71">
        <f t="shared" si="0"/>
        <v>118509805</v>
      </c>
      <c r="I29" s="75"/>
      <c r="J29" s="79">
        <v>35864630</v>
      </c>
      <c r="K29" s="79">
        <v>11514087</v>
      </c>
      <c r="L29" s="79">
        <v>3690363</v>
      </c>
      <c r="M29" s="79">
        <v>7557034</v>
      </c>
      <c r="N29" s="82">
        <v>58626114</v>
      </c>
      <c r="O29" s="75"/>
      <c r="P29" s="79">
        <v>36925006</v>
      </c>
      <c r="Q29" s="79">
        <v>12588055</v>
      </c>
      <c r="R29" s="79">
        <v>2832516</v>
      </c>
      <c r="S29" s="79">
        <v>5656085</v>
      </c>
      <c r="T29" s="79">
        <f t="shared" si="1"/>
        <v>58001662</v>
      </c>
      <c r="U29" s="75"/>
      <c r="V29" s="79">
        <v>1148429</v>
      </c>
      <c r="W29" s="79">
        <v>450767</v>
      </c>
      <c r="X29" s="79">
        <v>117892</v>
      </c>
      <c r="Y29" s="79">
        <v>164941</v>
      </c>
      <c r="Z29" s="79">
        <f t="shared" si="2"/>
        <v>1882029</v>
      </c>
    </row>
    <row r="30" spans="2:26" ht="15" x14ac:dyDescent="0.25">
      <c r="B30" s="78">
        <v>45901</v>
      </c>
      <c r="C30" s="75"/>
      <c r="D30" s="71">
        <v>70218007</v>
      </c>
      <c r="E30" s="71">
        <v>23912686</v>
      </c>
      <c r="F30" s="71">
        <v>6385327</v>
      </c>
      <c r="G30" s="71">
        <v>13078646</v>
      </c>
      <c r="H30" s="71">
        <f t="shared" si="0"/>
        <v>113594666</v>
      </c>
      <c r="I30" s="75"/>
      <c r="J30" s="79">
        <v>34358242</v>
      </c>
      <c r="K30" s="79">
        <v>11308899</v>
      </c>
      <c r="L30" s="79">
        <v>3557528</v>
      </c>
      <c r="M30" s="79">
        <v>7440677</v>
      </c>
      <c r="N30" s="82">
        <v>56665346</v>
      </c>
      <c r="O30" s="75"/>
      <c r="P30" s="79">
        <v>34737855</v>
      </c>
      <c r="Q30" s="79">
        <v>12148317</v>
      </c>
      <c r="R30" s="79">
        <v>2710211</v>
      </c>
      <c r="S30" s="79">
        <v>5474474</v>
      </c>
      <c r="T30" s="79">
        <f t="shared" si="1"/>
        <v>55070857</v>
      </c>
      <c r="U30" s="75"/>
      <c r="V30" s="79">
        <v>1121910</v>
      </c>
      <c r="W30" s="79">
        <v>455470</v>
      </c>
      <c r="X30" s="79">
        <v>117588</v>
      </c>
      <c r="Y30" s="79">
        <v>163495</v>
      </c>
      <c r="Z30" s="79">
        <f t="shared" si="2"/>
        <v>1858463</v>
      </c>
    </row>
    <row r="31" spans="2:26" ht="15" x14ac:dyDescent="0.25">
      <c r="B31" s="78">
        <v>45931</v>
      </c>
      <c r="C31" s="75"/>
      <c r="D31" s="71">
        <v>78653931</v>
      </c>
      <c r="E31" s="71">
        <v>27493549</v>
      </c>
      <c r="F31" s="71">
        <v>7400515</v>
      </c>
      <c r="G31" s="71">
        <v>14825140</v>
      </c>
      <c r="H31" s="71">
        <f t="shared" si="0"/>
        <v>128373135</v>
      </c>
      <c r="I31" s="75"/>
      <c r="J31" s="79">
        <v>38494690</v>
      </c>
      <c r="K31" s="79">
        <v>13035754</v>
      </c>
      <c r="L31" s="79">
        <v>4144211</v>
      </c>
      <c r="M31" s="79">
        <v>8426993</v>
      </c>
      <c r="N31" s="82">
        <v>64101648</v>
      </c>
      <c r="O31" s="75"/>
      <c r="P31" s="79">
        <v>38920698</v>
      </c>
      <c r="Q31" s="79">
        <v>13960754</v>
      </c>
      <c r="R31" s="79">
        <v>3123759</v>
      </c>
      <c r="S31" s="79">
        <v>6213188</v>
      </c>
      <c r="T31" s="79">
        <f t="shared" si="1"/>
        <v>62218399</v>
      </c>
      <c r="U31" s="75"/>
      <c r="V31" s="79">
        <v>1238543</v>
      </c>
      <c r="W31" s="79">
        <v>497041</v>
      </c>
      <c r="X31" s="79">
        <v>132545</v>
      </c>
      <c r="Y31" s="79">
        <v>184959</v>
      </c>
      <c r="Z31" s="79">
        <f t="shared" si="2"/>
        <v>2053088</v>
      </c>
    </row>
    <row r="32" spans="2:26" ht="15" x14ac:dyDescent="0.25">
      <c r="B32" s="78">
        <v>45962</v>
      </c>
      <c r="C32" s="75"/>
      <c r="D32" s="71">
        <v>73128622</v>
      </c>
      <c r="E32" s="71">
        <v>24875983</v>
      </c>
      <c r="F32" s="71">
        <v>6977303</v>
      </c>
      <c r="G32" s="71">
        <v>13997577</v>
      </c>
      <c r="H32" s="71">
        <f t="shared" si="0"/>
        <v>118979485</v>
      </c>
      <c r="I32" s="75"/>
      <c r="J32" s="79">
        <v>35609480</v>
      </c>
      <c r="K32" s="79">
        <v>11893431</v>
      </c>
      <c r="L32" s="79">
        <v>3918412</v>
      </c>
      <c r="M32" s="79">
        <v>7949611</v>
      </c>
      <c r="N32" s="82">
        <v>59370934</v>
      </c>
      <c r="O32" s="75"/>
      <c r="P32" s="79">
        <v>36339096</v>
      </c>
      <c r="Q32" s="79">
        <v>12519210</v>
      </c>
      <c r="R32" s="79">
        <v>2934517</v>
      </c>
      <c r="S32" s="79">
        <v>5870148</v>
      </c>
      <c r="T32" s="79">
        <f t="shared" si="1"/>
        <v>57662971</v>
      </c>
      <c r="U32" s="75"/>
      <c r="V32" s="79">
        <v>1180046</v>
      </c>
      <c r="W32" s="79">
        <v>463342</v>
      </c>
      <c r="X32" s="79">
        <v>124374</v>
      </c>
      <c r="Y32" s="79">
        <v>177818</v>
      </c>
      <c r="Z32" s="79">
        <f t="shared" si="2"/>
        <v>1945580</v>
      </c>
    </row>
    <row r="33" spans="2:26" ht="15" x14ac:dyDescent="0.25">
      <c r="B33" s="78">
        <v>45992</v>
      </c>
      <c r="C33" s="75"/>
      <c r="D33" s="71">
        <v>73689102</v>
      </c>
      <c r="E33" s="71">
        <v>20038605</v>
      </c>
      <c r="F33" s="71">
        <v>6758751</v>
      </c>
      <c r="G33" s="71">
        <v>14439148</v>
      </c>
      <c r="H33" s="71">
        <f t="shared" si="0"/>
        <v>114925606</v>
      </c>
      <c r="I33" s="75"/>
      <c r="J33" s="79">
        <v>35852129</v>
      </c>
      <c r="K33" s="79">
        <v>9903794</v>
      </c>
      <c r="L33" s="79">
        <v>3783504</v>
      </c>
      <c r="M33" s="79">
        <v>8191159</v>
      </c>
      <c r="N33" s="82">
        <v>57730586</v>
      </c>
      <c r="O33" s="75"/>
      <c r="P33" s="79">
        <v>36552715</v>
      </c>
      <c r="Q33" s="79">
        <v>9740202</v>
      </c>
      <c r="R33" s="79">
        <v>2846111</v>
      </c>
      <c r="S33" s="79">
        <v>6056328</v>
      </c>
      <c r="T33" s="79">
        <f t="shared" si="1"/>
        <v>55195356</v>
      </c>
      <c r="U33" s="75"/>
      <c r="V33" s="79">
        <v>1284258</v>
      </c>
      <c r="W33" s="79">
        <v>394609</v>
      </c>
      <c r="X33" s="79">
        <v>129136</v>
      </c>
      <c r="Y33" s="79">
        <v>191661</v>
      </c>
      <c r="Z33" s="79">
        <f t="shared" si="2"/>
        <v>1999664</v>
      </c>
    </row>
    <row r="34" spans="2:26" x14ac:dyDescent="0.2">
      <c r="H34" s="83"/>
    </row>
    <row r="35" spans="2:26" x14ac:dyDescent="0.2">
      <c r="B35" s="122" t="s">
        <v>94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2:26" x14ac:dyDescent="0.2"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</sheetData>
  <mergeCells count="5">
    <mergeCell ref="D4:H4"/>
    <mergeCell ref="J4:N4"/>
    <mergeCell ref="P4:T4"/>
    <mergeCell ref="V4:Z4"/>
    <mergeCell ref="B35:Z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3CE5-01FC-423C-96A1-FEE73FFE6A9D}">
  <dimension ref="A1:V20"/>
  <sheetViews>
    <sheetView workbookViewId="0">
      <selection activeCell="F14" sqref="F14"/>
    </sheetView>
  </sheetViews>
  <sheetFormatPr baseColWidth="10" defaultRowHeight="15" x14ac:dyDescent="0.25"/>
  <cols>
    <col min="1" max="1" width="7.5703125" style="108" customWidth="1"/>
    <col min="2" max="22" width="11.42578125" style="108"/>
  </cols>
  <sheetData>
    <row r="1" spans="2:21" x14ac:dyDescent="0.25">
      <c r="K1" s="109"/>
    </row>
    <row r="2" spans="2:21" x14ac:dyDescent="0.25">
      <c r="B2" s="43" t="s">
        <v>105</v>
      </c>
    </row>
    <row r="4" spans="2:21" x14ac:dyDescent="0.25">
      <c r="B4"/>
      <c r="C4" s="110">
        <v>2007</v>
      </c>
      <c r="D4" s="110">
        <v>2008</v>
      </c>
      <c r="E4" s="110">
        <v>2009</v>
      </c>
      <c r="F4" s="110">
        <v>2010</v>
      </c>
      <c r="G4" s="110">
        <v>2011</v>
      </c>
      <c r="H4" s="110">
        <v>2012</v>
      </c>
      <c r="I4" s="110">
        <v>2013</v>
      </c>
      <c r="J4" s="110">
        <v>2014</v>
      </c>
      <c r="K4" s="110">
        <v>2015</v>
      </c>
      <c r="L4" s="110">
        <v>2016</v>
      </c>
      <c r="M4" s="110">
        <v>2017</v>
      </c>
      <c r="N4" s="110">
        <v>2018</v>
      </c>
      <c r="O4" s="110">
        <v>2019</v>
      </c>
      <c r="P4" s="110">
        <v>2020</v>
      </c>
      <c r="Q4" s="110">
        <v>2021</v>
      </c>
      <c r="R4" s="110">
        <v>2022</v>
      </c>
      <c r="S4" s="110">
        <v>2023</v>
      </c>
      <c r="T4" s="110">
        <v>2024</v>
      </c>
      <c r="U4" s="110">
        <v>2025</v>
      </c>
    </row>
    <row r="5" spans="2:21" x14ac:dyDescent="0.25">
      <c r="B5" s="111" t="s">
        <v>50</v>
      </c>
      <c r="C5" s="112"/>
      <c r="D5" s="112">
        <v>4360868</v>
      </c>
      <c r="E5" s="112">
        <v>4464382</v>
      </c>
      <c r="F5" s="112">
        <v>4629028</v>
      </c>
      <c r="G5" s="112">
        <v>4681492</v>
      </c>
      <c r="H5" s="112">
        <v>4650632</v>
      </c>
      <c r="I5" s="112">
        <v>4717853</v>
      </c>
      <c r="J5" s="113">
        <v>4710384</v>
      </c>
      <c r="K5" s="113">
        <v>4696402</v>
      </c>
      <c r="L5" s="113">
        <v>4635271</v>
      </c>
      <c r="M5" s="113">
        <v>4688157</v>
      </c>
      <c r="N5" s="113">
        <v>4608201</v>
      </c>
      <c r="O5" s="113">
        <v>5930106</v>
      </c>
      <c r="P5" s="113">
        <v>5313710</v>
      </c>
      <c r="Q5" s="113">
        <v>3452821</v>
      </c>
      <c r="R5" s="113">
        <v>4317437</v>
      </c>
      <c r="S5" s="113">
        <v>4869296</v>
      </c>
      <c r="T5" s="113">
        <v>5217313</v>
      </c>
      <c r="U5" s="113">
        <v>5344982</v>
      </c>
    </row>
    <row r="6" spans="2:21" x14ac:dyDescent="0.25">
      <c r="B6" s="111" t="s">
        <v>51</v>
      </c>
      <c r="C6" s="112"/>
      <c r="D6" s="112">
        <v>4177085</v>
      </c>
      <c r="E6" s="112">
        <v>4140902</v>
      </c>
      <c r="F6" s="112">
        <v>4258127</v>
      </c>
      <c r="G6" s="112">
        <v>4388974</v>
      </c>
      <c r="H6" s="112">
        <v>4315468</v>
      </c>
      <c r="I6" s="112">
        <v>4354663</v>
      </c>
      <c r="J6" s="113">
        <v>4385191</v>
      </c>
      <c r="K6" s="113">
        <v>4405026</v>
      </c>
      <c r="L6" s="113">
        <v>4399329</v>
      </c>
      <c r="M6" s="113">
        <v>4436450</v>
      </c>
      <c r="N6" s="113">
        <v>4358303</v>
      </c>
      <c r="O6" s="113">
        <v>5483571</v>
      </c>
      <c r="P6" s="113">
        <v>5007151</v>
      </c>
      <c r="Q6" s="113">
        <v>3483768</v>
      </c>
      <c r="R6" s="113">
        <v>4414777</v>
      </c>
      <c r="S6" s="113">
        <v>4590330</v>
      </c>
      <c r="T6" s="113">
        <v>4981665</v>
      </c>
      <c r="U6" s="113">
        <v>5034169</v>
      </c>
    </row>
    <row r="7" spans="2:21" x14ac:dyDescent="0.25">
      <c r="B7" s="111" t="s">
        <v>52</v>
      </c>
      <c r="C7" s="112"/>
      <c r="D7" s="112">
        <v>4440112</v>
      </c>
      <c r="E7" s="112">
        <v>4616047</v>
      </c>
      <c r="F7" s="112">
        <v>4625034</v>
      </c>
      <c r="G7" s="112">
        <v>4815375</v>
      </c>
      <c r="H7" s="112">
        <v>4800178</v>
      </c>
      <c r="I7" s="112">
        <v>4837954</v>
      </c>
      <c r="J7" s="113">
        <v>4881917</v>
      </c>
      <c r="K7" s="113">
        <v>4842398</v>
      </c>
      <c r="L7" s="113">
        <v>4775596</v>
      </c>
      <c r="M7" s="113">
        <v>5045208</v>
      </c>
      <c r="N7" s="113">
        <v>5955232</v>
      </c>
      <c r="O7" s="113">
        <v>6066672</v>
      </c>
      <c r="P7" s="113">
        <v>4562926</v>
      </c>
      <c r="Q7" s="113">
        <v>3500633</v>
      </c>
      <c r="R7" s="113">
        <v>5086572</v>
      </c>
      <c r="S7" s="113">
        <v>5243987</v>
      </c>
      <c r="T7" s="113">
        <v>5551021</v>
      </c>
      <c r="U7" s="113">
        <v>5689252</v>
      </c>
    </row>
    <row r="8" spans="2:21" x14ac:dyDescent="0.25">
      <c r="B8" s="111" t="s">
        <v>53</v>
      </c>
      <c r="C8" s="112">
        <v>4169317</v>
      </c>
      <c r="D8" s="112">
        <v>4468988</v>
      </c>
      <c r="E8" s="112">
        <v>4548749</v>
      </c>
      <c r="F8" s="112">
        <v>4773320</v>
      </c>
      <c r="G8" s="112">
        <v>4832439</v>
      </c>
      <c r="H8" s="112">
        <v>4791477</v>
      </c>
      <c r="I8" s="112">
        <v>4915520</v>
      </c>
      <c r="J8" s="113">
        <v>4906450</v>
      </c>
      <c r="K8" s="113">
        <v>4867275</v>
      </c>
      <c r="L8" s="113">
        <v>4804782</v>
      </c>
      <c r="M8" s="113">
        <v>5074998</v>
      </c>
      <c r="N8" s="113">
        <v>6035199</v>
      </c>
      <c r="O8" s="113">
        <v>6106877</v>
      </c>
      <c r="P8" s="113">
        <v>1996548</v>
      </c>
      <c r="Q8" s="113">
        <v>2557460</v>
      </c>
      <c r="R8" s="113">
        <v>5483043</v>
      </c>
      <c r="S8" s="113">
        <v>5221739</v>
      </c>
      <c r="T8" s="113">
        <v>5689811</v>
      </c>
      <c r="U8" s="113">
        <v>5643492</v>
      </c>
    </row>
    <row r="9" spans="2:21" x14ac:dyDescent="0.25">
      <c r="B9" s="111" t="s">
        <v>54</v>
      </c>
      <c r="C9" s="112">
        <v>4143552</v>
      </c>
      <c r="D9" s="112">
        <v>4411497</v>
      </c>
      <c r="E9" s="112">
        <v>4604695</v>
      </c>
      <c r="F9" s="112">
        <v>4899142</v>
      </c>
      <c r="G9" s="112">
        <v>4899321</v>
      </c>
      <c r="H9" s="112">
        <v>4848235</v>
      </c>
      <c r="I9" s="112">
        <v>4898865</v>
      </c>
      <c r="J9" s="113">
        <v>4965486</v>
      </c>
      <c r="K9" s="113">
        <v>4331584</v>
      </c>
      <c r="L9" s="113">
        <v>4896687</v>
      </c>
      <c r="M9" s="113">
        <v>5105098</v>
      </c>
      <c r="N9" s="113">
        <v>6011283</v>
      </c>
      <c r="O9" s="113">
        <v>6256656</v>
      </c>
      <c r="P9" s="113">
        <v>1739178</v>
      </c>
      <c r="Q9" s="113">
        <v>3348064</v>
      </c>
      <c r="R9" s="113">
        <v>5571577</v>
      </c>
      <c r="S9" s="113">
        <v>5447201</v>
      </c>
      <c r="T9" s="113">
        <v>5528353</v>
      </c>
      <c r="U9" s="113">
        <v>5758623</v>
      </c>
    </row>
    <row r="10" spans="2:21" x14ac:dyDescent="0.25">
      <c r="B10" s="111" t="s">
        <v>55</v>
      </c>
      <c r="C10" s="112">
        <v>4135370</v>
      </c>
      <c r="D10" s="112">
        <v>4501699</v>
      </c>
      <c r="E10" s="112">
        <v>4547164</v>
      </c>
      <c r="F10" s="112">
        <v>4764592</v>
      </c>
      <c r="G10" s="112">
        <v>4809484</v>
      </c>
      <c r="H10" s="112">
        <v>4882780</v>
      </c>
      <c r="I10" s="112">
        <v>4856162</v>
      </c>
      <c r="J10" s="113">
        <v>4833603</v>
      </c>
      <c r="K10" s="113">
        <v>5071468</v>
      </c>
      <c r="L10" s="113">
        <v>4908933</v>
      </c>
      <c r="M10" s="113">
        <v>5072863</v>
      </c>
      <c r="N10" s="113">
        <v>5959171</v>
      </c>
      <c r="O10" s="113">
        <v>6033356</v>
      </c>
      <c r="P10" s="113">
        <v>1410456</v>
      </c>
      <c r="Q10" s="113">
        <v>3276182</v>
      </c>
      <c r="R10" s="113">
        <v>5223471</v>
      </c>
      <c r="S10" s="113">
        <v>5267007</v>
      </c>
      <c r="T10" s="113">
        <v>5444779</v>
      </c>
      <c r="U10" s="113">
        <v>5718232</v>
      </c>
    </row>
    <row r="11" spans="2:21" x14ac:dyDescent="0.25">
      <c r="B11" s="111" t="s">
        <v>56</v>
      </c>
      <c r="C11" s="112">
        <v>4236374</v>
      </c>
      <c r="D11" s="112">
        <v>4549934</v>
      </c>
      <c r="E11" s="112">
        <v>4591293</v>
      </c>
      <c r="F11" s="112">
        <v>4814497</v>
      </c>
      <c r="G11" s="112">
        <v>4838842</v>
      </c>
      <c r="H11" s="112">
        <v>4895873</v>
      </c>
      <c r="I11" s="112">
        <v>4931640</v>
      </c>
      <c r="J11" s="113">
        <v>4924108</v>
      </c>
      <c r="K11" s="113">
        <v>4994221</v>
      </c>
      <c r="L11" s="113">
        <v>4929445</v>
      </c>
      <c r="M11" s="113">
        <v>5203467</v>
      </c>
      <c r="N11" s="113">
        <v>5916436</v>
      </c>
      <c r="O11" s="113">
        <v>6093427</v>
      </c>
      <c r="P11" s="113">
        <v>1654744</v>
      </c>
      <c r="Q11" s="113">
        <v>3880986</v>
      </c>
      <c r="R11" s="113">
        <v>4930233</v>
      </c>
      <c r="S11" s="113">
        <v>5428784</v>
      </c>
      <c r="T11" s="113">
        <v>5629025</v>
      </c>
      <c r="U11" s="113">
        <v>5765103</v>
      </c>
    </row>
    <row r="12" spans="2:21" x14ac:dyDescent="0.25">
      <c r="B12" s="111" t="s">
        <v>57</v>
      </c>
      <c r="C12" s="112">
        <v>4301607</v>
      </c>
      <c r="D12" s="112">
        <v>4542309</v>
      </c>
      <c r="E12" s="112">
        <v>4627222</v>
      </c>
      <c r="F12" s="112">
        <v>4791566</v>
      </c>
      <c r="G12" s="112">
        <v>4731859</v>
      </c>
      <c r="H12" s="112">
        <v>4876828</v>
      </c>
      <c r="I12" s="112">
        <v>4915980</v>
      </c>
      <c r="J12" s="113">
        <v>4909040</v>
      </c>
      <c r="K12" s="113">
        <v>4791136</v>
      </c>
      <c r="L12" s="113">
        <v>4872617</v>
      </c>
      <c r="M12" s="113">
        <v>4265386</v>
      </c>
      <c r="N12" s="113">
        <v>6024665</v>
      </c>
      <c r="O12" s="113">
        <v>6107565</v>
      </c>
      <c r="P12" s="113">
        <v>2291731</v>
      </c>
      <c r="Q12" s="113">
        <v>4209536</v>
      </c>
      <c r="R12" s="113">
        <v>5264929</v>
      </c>
      <c r="S12" s="113">
        <v>5415585</v>
      </c>
      <c r="T12" s="113">
        <v>5610050</v>
      </c>
      <c r="U12" s="113">
        <v>5702747</v>
      </c>
    </row>
    <row r="13" spans="2:21" x14ac:dyDescent="0.25">
      <c r="B13" s="111" t="s">
        <v>58</v>
      </c>
      <c r="C13" s="112">
        <v>4294945</v>
      </c>
      <c r="D13" s="112">
        <v>4529028</v>
      </c>
      <c r="E13" s="112">
        <v>4622941</v>
      </c>
      <c r="F13" s="112">
        <v>4767144</v>
      </c>
      <c r="G13" s="112">
        <v>4760670</v>
      </c>
      <c r="H13" s="112">
        <v>4770297</v>
      </c>
      <c r="I13" s="112">
        <v>4775815</v>
      </c>
      <c r="J13" s="113">
        <v>4810412</v>
      </c>
      <c r="K13" s="113">
        <v>4762108</v>
      </c>
      <c r="L13" s="113">
        <v>4815789</v>
      </c>
      <c r="M13" s="113">
        <v>5246907</v>
      </c>
      <c r="N13" s="113">
        <v>5835144</v>
      </c>
      <c r="O13" s="113">
        <v>5878925</v>
      </c>
      <c r="P13" s="113">
        <v>2923895</v>
      </c>
      <c r="Q13" s="113">
        <v>4291512</v>
      </c>
      <c r="R13" s="113">
        <v>5291972</v>
      </c>
      <c r="S13" s="113">
        <v>5396257</v>
      </c>
      <c r="T13" s="113">
        <v>5460867</v>
      </c>
      <c r="U13" s="113">
        <v>5624335</v>
      </c>
    </row>
    <row r="14" spans="2:21" x14ac:dyDescent="0.25">
      <c r="B14" s="111" t="s">
        <v>59</v>
      </c>
      <c r="C14" s="112">
        <v>4402681</v>
      </c>
      <c r="D14" s="112">
        <v>4620704</v>
      </c>
      <c r="E14" s="112">
        <v>4696789</v>
      </c>
      <c r="F14" s="112">
        <v>4831509</v>
      </c>
      <c r="G14" s="112">
        <v>4780255</v>
      </c>
      <c r="H14" s="112">
        <v>4884740</v>
      </c>
      <c r="I14" s="112">
        <v>4927626</v>
      </c>
      <c r="J14" s="113">
        <v>5019657</v>
      </c>
      <c r="K14" s="113">
        <v>4861872</v>
      </c>
      <c r="L14" s="113">
        <v>4839856</v>
      </c>
      <c r="M14" s="113">
        <v>5310318</v>
      </c>
      <c r="N14" s="113">
        <v>6069805</v>
      </c>
      <c r="O14" s="113">
        <v>5609993</v>
      </c>
      <c r="P14" s="113">
        <v>3452820</v>
      </c>
      <c r="Q14" s="113">
        <v>4451474</v>
      </c>
      <c r="R14" s="113">
        <v>5184040</v>
      </c>
      <c r="S14" s="113">
        <v>5534318</v>
      </c>
      <c r="T14" s="113">
        <v>5691716</v>
      </c>
      <c r="U14" s="113">
        <v>5819391</v>
      </c>
    </row>
    <row r="15" spans="2:21" x14ac:dyDescent="0.25">
      <c r="B15" s="111" t="s">
        <v>60</v>
      </c>
      <c r="C15" s="112">
        <v>4370076</v>
      </c>
      <c r="D15" s="112">
        <v>4558134</v>
      </c>
      <c r="E15" s="112">
        <v>4690548</v>
      </c>
      <c r="F15" s="112">
        <v>4795778</v>
      </c>
      <c r="G15" s="112">
        <v>4779480</v>
      </c>
      <c r="H15" s="112">
        <v>4831016</v>
      </c>
      <c r="I15" s="112">
        <v>4870919</v>
      </c>
      <c r="J15" s="113">
        <v>4868479</v>
      </c>
      <c r="K15" s="113">
        <v>4838014</v>
      </c>
      <c r="L15" s="113">
        <v>4802394</v>
      </c>
      <c r="M15" s="113">
        <v>5338743</v>
      </c>
      <c r="N15" s="113">
        <v>5975833</v>
      </c>
      <c r="O15" s="113">
        <v>4890220</v>
      </c>
      <c r="P15" s="113">
        <v>3728620</v>
      </c>
      <c r="Q15" s="113">
        <v>4504765</v>
      </c>
      <c r="R15" s="113">
        <v>5247046</v>
      </c>
      <c r="S15" s="113">
        <v>5587834</v>
      </c>
      <c r="T15" s="113">
        <v>5671003</v>
      </c>
      <c r="U15" s="113">
        <v>5760255</v>
      </c>
    </row>
    <row r="16" spans="2:21" x14ac:dyDescent="0.25">
      <c r="B16" s="111" t="s">
        <v>61</v>
      </c>
      <c r="C16" s="112">
        <v>4473133</v>
      </c>
      <c r="D16" s="112">
        <v>4649603</v>
      </c>
      <c r="E16" s="112">
        <v>4737269</v>
      </c>
      <c r="F16" s="112">
        <v>4879318</v>
      </c>
      <c r="G16" s="112">
        <v>4838668</v>
      </c>
      <c r="H16" s="112">
        <v>4907924</v>
      </c>
      <c r="I16" s="112">
        <v>4966650</v>
      </c>
      <c r="J16" s="113">
        <v>4929106</v>
      </c>
      <c r="K16" s="113">
        <v>4903788</v>
      </c>
      <c r="L16" s="113">
        <v>4920348</v>
      </c>
      <c r="M16" s="113">
        <v>5385965</v>
      </c>
      <c r="N16" s="113">
        <v>6086721</v>
      </c>
      <c r="O16" s="113">
        <v>5413002</v>
      </c>
      <c r="P16" s="113">
        <v>3850865</v>
      </c>
      <c r="Q16" s="113">
        <v>4686788</v>
      </c>
      <c r="R16" s="113">
        <v>5349621</v>
      </c>
      <c r="S16" s="113">
        <v>5607711</v>
      </c>
      <c r="T16" s="113">
        <v>5698746</v>
      </c>
      <c r="U16" s="113">
        <v>5824493</v>
      </c>
    </row>
    <row r="18" spans="2:20" x14ac:dyDescent="0.25"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</row>
    <row r="19" spans="2:20" x14ac:dyDescent="0.25">
      <c r="B19" t="s">
        <v>104</v>
      </c>
      <c r="T19" s="114"/>
    </row>
    <row r="20" spans="2:20" x14ac:dyDescent="0.25">
      <c r="S20" s="115"/>
      <c r="T20" s="115"/>
    </row>
  </sheetData>
  <conditionalFormatting sqref="J5:U16">
    <cfRule type="cellIs" dxfId="4" priority="1" operator="equal">
      <formula>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9577-9C32-412B-89DD-CAA2E3798D3E}">
  <dimension ref="B2:J46"/>
  <sheetViews>
    <sheetView workbookViewId="0">
      <selection activeCell="D6" sqref="D6"/>
    </sheetView>
  </sheetViews>
  <sheetFormatPr baseColWidth="10" defaultRowHeight="12.75" x14ac:dyDescent="0.2"/>
  <cols>
    <col min="1" max="1" width="7.5703125" customWidth="1"/>
    <col min="3" max="3" width="14.140625" customWidth="1"/>
    <col min="4" max="9" width="11" bestFit="1" customWidth="1"/>
    <col min="10" max="10" width="12" bestFit="1" customWidth="1"/>
  </cols>
  <sheetData>
    <row r="2" spans="2:10" ht="15" x14ac:dyDescent="0.25">
      <c r="B2" s="43" t="s">
        <v>95</v>
      </c>
    </row>
    <row r="3" spans="2:10" x14ac:dyDescent="0.2">
      <c r="B3" s="46" t="s">
        <v>16</v>
      </c>
    </row>
    <row r="4" spans="2:10" x14ac:dyDescent="0.2">
      <c r="B4" s="61"/>
      <c r="C4" s="84"/>
      <c r="D4" s="84"/>
      <c r="E4" s="84"/>
      <c r="F4" s="84"/>
      <c r="G4" s="84"/>
      <c r="H4" s="84"/>
      <c r="I4" s="84"/>
      <c r="J4" s="85"/>
    </row>
    <row r="5" spans="2:10" ht="15" x14ac:dyDescent="0.2">
      <c r="B5" s="86" t="s">
        <v>49</v>
      </c>
      <c r="C5" s="87" t="s">
        <v>96</v>
      </c>
      <c r="D5" s="87" t="s">
        <v>97</v>
      </c>
      <c r="E5" s="87" t="s">
        <v>98</v>
      </c>
      <c r="F5" s="87" t="s">
        <v>99</v>
      </c>
      <c r="G5" s="87" t="s">
        <v>100</v>
      </c>
      <c r="H5" s="87" t="s">
        <v>101</v>
      </c>
      <c r="I5" s="87" t="s">
        <v>102</v>
      </c>
      <c r="J5" s="87" t="s">
        <v>89</v>
      </c>
    </row>
    <row r="6" spans="2:10" x14ac:dyDescent="0.2">
      <c r="B6" s="88">
        <v>1990</v>
      </c>
      <c r="C6" s="89">
        <v>115.373</v>
      </c>
      <c r="D6" s="89">
        <v>39.664999999999999</v>
      </c>
      <c r="E6" s="89"/>
      <c r="F6" s="89"/>
      <c r="G6" s="89"/>
      <c r="H6" s="89"/>
      <c r="I6" s="89"/>
      <c r="J6" s="90">
        <v>155.03800000000001</v>
      </c>
    </row>
    <row r="7" spans="2:10" x14ac:dyDescent="0.2">
      <c r="B7" s="88">
        <v>1991</v>
      </c>
      <c r="C7" s="89">
        <v>113.059</v>
      </c>
      <c r="D7" s="89">
        <v>42.462000000000003</v>
      </c>
      <c r="E7" s="89"/>
      <c r="F7" s="89"/>
      <c r="G7" s="89"/>
      <c r="H7" s="89"/>
      <c r="I7" s="89"/>
      <c r="J7" s="90">
        <v>155.52100000000002</v>
      </c>
    </row>
    <row r="8" spans="2:10" x14ac:dyDescent="0.2">
      <c r="B8" s="88">
        <v>1992</v>
      </c>
      <c r="C8" s="89">
        <v>117.235</v>
      </c>
      <c r="D8" s="89">
        <v>43.329000000000001</v>
      </c>
      <c r="E8" s="89"/>
      <c r="F8" s="89"/>
      <c r="G8" s="89"/>
      <c r="H8" s="89"/>
      <c r="I8" s="89"/>
      <c r="J8" s="90">
        <v>160.56399999999999</v>
      </c>
    </row>
    <row r="9" spans="2:10" x14ac:dyDescent="0.2">
      <c r="B9" s="88">
        <v>1993</v>
      </c>
      <c r="C9" s="89">
        <v>124.56699999999999</v>
      </c>
      <c r="D9" s="89">
        <v>39.625</v>
      </c>
      <c r="E9" s="89"/>
      <c r="F9" s="89"/>
      <c r="G9" s="89"/>
      <c r="H9" s="89"/>
      <c r="I9" s="89"/>
      <c r="J9" s="90">
        <v>164.19200000000001</v>
      </c>
    </row>
    <row r="10" spans="2:10" x14ac:dyDescent="0.2">
      <c r="B10" s="88">
        <v>1994</v>
      </c>
      <c r="C10" s="89">
        <v>127.572</v>
      </c>
      <c r="D10" s="89">
        <v>39.481000000000002</v>
      </c>
      <c r="E10" s="89"/>
      <c r="F10" s="89"/>
      <c r="G10" s="89"/>
      <c r="H10" s="89"/>
      <c r="I10" s="89"/>
      <c r="J10" s="90">
        <v>167.053</v>
      </c>
    </row>
    <row r="11" spans="2:10" x14ac:dyDescent="0.2">
      <c r="B11" s="88">
        <v>1995</v>
      </c>
      <c r="C11" s="89">
        <v>126.53400000000001</v>
      </c>
      <c r="D11" s="89">
        <v>39.984999999999999</v>
      </c>
      <c r="E11" s="89"/>
      <c r="F11" s="89"/>
      <c r="G11" s="89"/>
      <c r="H11" s="89"/>
      <c r="I11" s="89"/>
      <c r="J11" s="90">
        <v>166.51900000000001</v>
      </c>
    </row>
    <row r="12" spans="2:10" x14ac:dyDescent="0.2">
      <c r="B12" s="88">
        <v>1996</v>
      </c>
      <c r="C12" s="89">
        <v>136.78899999999999</v>
      </c>
      <c r="D12" s="89">
        <v>41.755000000000003</v>
      </c>
      <c r="E12" s="89"/>
      <c r="F12" s="89"/>
      <c r="G12" s="89"/>
      <c r="H12" s="89"/>
      <c r="I12" s="89"/>
      <c r="J12" s="90">
        <v>178.54399999999998</v>
      </c>
    </row>
    <row r="13" spans="2:10" x14ac:dyDescent="0.2">
      <c r="B13" s="88">
        <v>1997</v>
      </c>
      <c r="C13" s="89">
        <v>141.09399999999999</v>
      </c>
      <c r="D13" s="89">
        <v>39.933999999999997</v>
      </c>
      <c r="E13" s="89"/>
      <c r="F13" s="89"/>
      <c r="G13" s="89"/>
      <c r="H13" s="89">
        <v>18.707000000000001</v>
      </c>
      <c r="I13" s="89"/>
      <c r="J13" s="90">
        <v>199.73499999999999</v>
      </c>
    </row>
    <row r="14" spans="2:10" x14ac:dyDescent="0.2">
      <c r="B14" s="88">
        <v>1998</v>
      </c>
      <c r="C14" s="89">
        <v>136.14099999999999</v>
      </c>
      <c r="D14" s="89">
        <v>37.103999999999999</v>
      </c>
      <c r="E14" s="89"/>
      <c r="F14" s="89"/>
      <c r="G14" s="89"/>
      <c r="H14" s="89">
        <v>21.143999999999998</v>
      </c>
      <c r="I14" s="89"/>
      <c r="J14" s="90">
        <v>194.38900000000001</v>
      </c>
    </row>
    <row r="15" spans="2:10" x14ac:dyDescent="0.2">
      <c r="B15" s="88">
        <v>1999</v>
      </c>
      <c r="C15" s="89">
        <v>129.399</v>
      </c>
      <c r="D15" s="89">
        <v>33.334000000000003</v>
      </c>
      <c r="E15" s="89"/>
      <c r="F15" s="89"/>
      <c r="G15" s="89"/>
      <c r="H15" s="89">
        <v>22.027999999999999</v>
      </c>
      <c r="I15" s="89"/>
      <c r="J15" s="90">
        <v>184.761</v>
      </c>
    </row>
    <row r="16" spans="2:10" x14ac:dyDescent="0.2">
      <c r="B16" s="88">
        <v>2000</v>
      </c>
      <c r="C16" s="89">
        <v>138.607</v>
      </c>
      <c r="D16" s="89">
        <v>35.216999999999999</v>
      </c>
      <c r="E16" s="89"/>
      <c r="F16" s="89"/>
      <c r="G16" s="89"/>
      <c r="H16" s="89">
        <v>33.997999999999998</v>
      </c>
      <c r="I16" s="89"/>
      <c r="J16" s="90">
        <v>207.822</v>
      </c>
    </row>
    <row r="17" spans="2:10" x14ac:dyDescent="0.2">
      <c r="B17" s="88">
        <v>2001</v>
      </c>
      <c r="C17" s="89">
        <v>132.14699999999999</v>
      </c>
      <c r="D17" s="89">
        <v>33.930999999999997</v>
      </c>
      <c r="E17" s="89"/>
      <c r="F17" s="89"/>
      <c r="G17" s="89"/>
      <c r="H17" s="89">
        <v>36.412999999999997</v>
      </c>
      <c r="I17" s="89"/>
      <c r="J17" s="90">
        <v>202.49099999999999</v>
      </c>
    </row>
    <row r="18" spans="2:10" x14ac:dyDescent="0.2">
      <c r="B18" s="88">
        <v>2002</v>
      </c>
      <c r="C18" s="89">
        <v>128.98500000000001</v>
      </c>
      <c r="D18" s="89">
        <v>33.445999999999998</v>
      </c>
      <c r="E18" s="89"/>
      <c r="F18" s="89"/>
      <c r="G18" s="89"/>
      <c r="H18" s="89">
        <v>36.433999999999997</v>
      </c>
      <c r="I18" s="89"/>
      <c r="J18" s="90">
        <v>198.86500000000001</v>
      </c>
    </row>
    <row r="19" spans="2:10" x14ac:dyDescent="0.2">
      <c r="B19" s="88">
        <v>2003</v>
      </c>
      <c r="C19" s="89">
        <v>130.749</v>
      </c>
      <c r="D19" s="89">
        <v>34.311999999999998</v>
      </c>
      <c r="E19" s="89"/>
      <c r="F19" s="89"/>
      <c r="G19" s="89"/>
      <c r="H19" s="89">
        <v>38.218000000000004</v>
      </c>
      <c r="I19" s="89"/>
      <c r="J19" s="90">
        <v>203.279</v>
      </c>
    </row>
    <row r="20" spans="2:10" x14ac:dyDescent="0.2">
      <c r="B20" s="88">
        <v>2004</v>
      </c>
      <c r="C20" s="89">
        <v>145.19399999999999</v>
      </c>
      <c r="D20" s="89">
        <v>39.509</v>
      </c>
      <c r="E20" s="89"/>
      <c r="F20" s="89"/>
      <c r="G20" s="89"/>
      <c r="H20" s="89">
        <v>47.061999999999998</v>
      </c>
      <c r="I20" s="89"/>
      <c r="J20" s="90">
        <v>231.76499999999999</v>
      </c>
    </row>
    <row r="21" spans="2:10" x14ac:dyDescent="0.2">
      <c r="B21" s="88">
        <v>2005</v>
      </c>
      <c r="C21" s="89">
        <v>158.25399999999999</v>
      </c>
      <c r="D21" s="89">
        <v>51.84</v>
      </c>
      <c r="E21" s="89"/>
      <c r="F21" s="89">
        <v>2.6930000000000001</v>
      </c>
      <c r="G21" s="89"/>
      <c r="H21" s="89">
        <v>54.317</v>
      </c>
      <c r="I21" s="89"/>
      <c r="J21" s="90">
        <v>267.10399999999998</v>
      </c>
    </row>
    <row r="22" spans="2:10" x14ac:dyDescent="0.2">
      <c r="B22" s="88">
        <v>2006</v>
      </c>
      <c r="C22" s="89">
        <v>167.19200000000001</v>
      </c>
      <c r="D22" s="89">
        <v>58.893000000000001</v>
      </c>
      <c r="E22" s="89"/>
      <c r="F22" s="89">
        <v>48.418999999999997</v>
      </c>
      <c r="G22" s="89">
        <v>3.2919999999999998</v>
      </c>
      <c r="H22" s="89">
        <v>53.213999999999999</v>
      </c>
      <c r="I22" s="89"/>
      <c r="J22" s="90">
        <v>331.01</v>
      </c>
    </row>
    <row r="23" spans="2:10" x14ac:dyDescent="0.2">
      <c r="B23" s="88">
        <v>2007</v>
      </c>
      <c r="C23" s="89">
        <v>256.03699999999998</v>
      </c>
      <c r="D23" s="89">
        <v>120.46899999999999</v>
      </c>
      <c r="E23" s="89"/>
      <c r="F23" s="89">
        <v>114.008</v>
      </c>
      <c r="G23" s="89">
        <v>20.873999999999999</v>
      </c>
      <c r="H23" s="89">
        <v>89.385000000000005</v>
      </c>
      <c r="I23" s="89"/>
      <c r="J23" s="90">
        <v>600.77300000000002</v>
      </c>
    </row>
    <row r="24" spans="2:10" x14ac:dyDescent="0.2">
      <c r="B24" s="88">
        <v>2008</v>
      </c>
      <c r="C24" s="89">
        <v>272.10399999999998</v>
      </c>
      <c r="D24" s="89">
        <v>128.83000000000001</v>
      </c>
      <c r="E24" s="89"/>
      <c r="F24" s="89">
        <v>123.922</v>
      </c>
      <c r="G24" s="89">
        <v>20.940999999999999</v>
      </c>
      <c r="H24" s="89">
        <v>95.885000000000005</v>
      </c>
      <c r="I24" s="89"/>
      <c r="J24" s="90">
        <v>641.68200000000002</v>
      </c>
    </row>
    <row r="25" spans="2:10" x14ac:dyDescent="0.2">
      <c r="B25" s="88">
        <v>2009</v>
      </c>
      <c r="C25" s="89">
        <v>258.17399999999998</v>
      </c>
      <c r="D25" s="89">
        <v>121.836</v>
      </c>
      <c r="E25" s="89"/>
      <c r="F25" s="89">
        <v>117.509</v>
      </c>
      <c r="G25" s="89">
        <v>19.658999999999999</v>
      </c>
      <c r="H25" s="89">
        <v>90.734999999999999</v>
      </c>
      <c r="I25" s="89"/>
      <c r="J25" s="90">
        <v>607.91300000000001</v>
      </c>
    </row>
    <row r="26" spans="2:10" x14ac:dyDescent="0.2">
      <c r="B26" s="88">
        <v>2010</v>
      </c>
      <c r="C26" s="89">
        <v>259.5</v>
      </c>
      <c r="D26" s="89">
        <v>122.30200000000001</v>
      </c>
      <c r="E26" s="89"/>
      <c r="F26" s="89">
        <v>115.667</v>
      </c>
      <c r="G26" s="89">
        <v>19.027999999999999</v>
      </c>
      <c r="H26" s="89">
        <v>104.22</v>
      </c>
      <c r="I26" s="89"/>
      <c r="J26" s="90">
        <v>620.7170000000001</v>
      </c>
    </row>
    <row r="27" spans="2:10" x14ac:dyDescent="0.2">
      <c r="B27" s="88">
        <v>2011</v>
      </c>
      <c r="C27" s="89">
        <v>252.68700000000001</v>
      </c>
      <c r="D27" s="89">
        <v>120.241</v>
      </c>
      <c r="E27" s="89"/>
      <c r="F27" s="89">
        <v>115.598</v>
      </c>
      <c r="G27" s="89">
        <v>18.254000000000001</v>
      </c>
      <c r="H27" s="89">
        <v>133.16</v>
      </c>
      <c r="I27" s="89"/>
      <c r="J27" s="90">
        <v>639.94000000000005</v>
      </c>
    </row>
    <row r="28" spans="2:10" x14ac:dyDescent="0.2">
      <c r="B28" s="88">
        <v>2012</v>
      </c>
      <c r="C28" s="89">
        <v>257.51</v>
      </c>
      <c r="D28" s="89">
        <v>118.65</v>
      </c>
      <c r="E28" s="89"/>
      <c r="F28" s="89">
        <v>117.20099999999999</v>
      </c>
      <c r="G28" s="89">
        <v>18.931999999999999</v>
      </c>
      <c r="H28" s="89">
        <v>136.44200000000001</v>
      </c>
      <c r="I28" s="89"/>
      <c r="J28" s="90">
        <v>648.73500000000001</v>
      </c>
    </row>
    <row r="29" spans="2:10" x14ac:dyDescent="0.2">
      <c r="B29" s="88">
        <v>2013</v>
      </c>
      <c r="C29" s="89">
        <v>263.63296400000002</v>
      </c>
      <c r="D29" s="89">
        <v>121.852993</v>
      </c>
      <c r="E29" s="89"/>
      <c r="F29" s="89">
        <v>120.104557</v>
      </c>
      <c r="G29" s="89">
        <v>19.631209999999999</v>
      </c>
      <c r="H29" s="89">
        <v>141.65407099999999</v>
      </c>
      <c r="I29" s="89"/>
      <c r="J29" s="90">
        <v>666.87579499999993</v>
      </c>
    </row>
    <row r="30" spans="2:10" x14ac:dyDescent="0.2">
      <c r="B30" s="88">
        <v>2014</v>
      </c>
      <c r="C30" s="91">
        <v>261.95243699999997</v>
      </c>
      <c r="D30" s="91">
        <v>121.90895</v>
      </c>
      <c r="E30" s="89"/>
      <c r="F30" s="91">
        <v>119.41749799999999</v>
      </c>
      <c r="G30" s="91">
        <v>20.289299</v>
      </c>
      <c r="H30" s="91">
        <v>144.08096800000001</v>
      </c>
      <c r="I30" s="89"/>
      <c r="J30" s="92">
        <v>667.64915199999996</v>
      </c>
    </row>
    <row r="31" spans="2:10" x14ac:dyDescent="0.2">
      <c r="B31" s="88">
        <v>2015</v>
      </c>
      <c r="C31" s="91">
        <v>257.41637700000001</v>
      </c>
      <c r="D31" s="91">
        <v>118.762305</v>
      </c>
      <c r="E31" s="89"/>
      <c r="F31" s="91">
        <v>119.79175499999999</v>
      </c>
      <c r="G31" s="91">
        <v>20.627148999999999</v>
      </c>
      <c r="H31" s="91">
        <v>144.57460699999999</v>
      </c>
      <c r="I31" s="89"/>
      <c r="J31" s="92">
        <v>661.17219299999999</v>
      </c>
    </row>
    <row r="32" spans="2:10" x14ac:dyDescent="0.2">
      <c r="B32" s="88">
        <v>2016</v>
      </c>
      <c r="C32" s="91">
        <v>260.99339099999997</v>
      </c>
      <c r="D32" s="91">
        <v>121.102003</v>
      </c>
      <c r="E32" s="89"/>
      <c r="F32" s="91">
        <v>120.23631399999999</v>
      </c>
      <c r="G32" s="91">
        <v>20.803433999999999</v>
      </c>
      <c r="H32" s="91">
        <v>146.937985</v>
      </c>
      <c r="I32" s="89"/>
      <c r="J32" s="92">
        <v>670.073127</v>
      </c>
    </row>
    <row r="33" spans="2:10" x14ac:dyDescent="0.2">
      <c r="B33" s="88">
        <v>2017</v>
      </c>
      <c r="C33" s="91">
        <v>270.646974</v>
      </c>
      <c r="D33" s="91">
        <v>122.971059</v>
      </c>
      <c r="E33" s="89"/>
      <c r="F33" s="91">
        <v>118.824972</v>
      </c>
      <c r="G33" s="91">
        <v>20.399137</v>
      </c>
      <c r="H33" s="91">
        <v>146.76080400000001</v>
      </c>
      <c r="I33" s="89">
        <v>5.4611010000000002</v>
      </c>
      <c r="J33" s="92">
        <v>685.06404699999996</v>
      </c>
    </row>
    <row r="34" spans="2:10" x14ac:dyDescent="0.2">
      <c r="B34" s="88">
        <v>2018</v>
      </c>
      <c r="C34" s="91">
        <v>278.07242000000002</v>
      </c>
      <c r="D34" s="91">
        <v>121.25015999999999</v>
      </c>
      <c r="E34" s="89" t="s">
        <v>93</v>
      </c>
      <c r="F34" s="91">
        <v>118.93527400000001</v>
      </c>
      <c r="G34" s="91">
        <v>19.969374999999999</v>
      </c>
      <c r="H34" s="91">
        <v>143.66819799999999</v>
      </c>
      <c r="I34" s="89">
        <v>39.111884000000003</v>
      </c>
      <c r="J34" s="92">
        <v>721.00731100000007</v>
      </c>
    </row>
    <row r="35" spans="2:10" x14ac:dyDescent="0.2">
      <c r="B35" s="88">
        <v>2019</v>
      </c>
      <c r="C35" s="91">
        <v>262.68690600000002</v>
      </c>
      <c r="D35" s="91">
        <v>102.893283</v>
      </c>
      <c r="E35" s="89">
        <v>55.820754000000001</v>
      </c>
      <c r="F35" s="91">
        <v>101.893942</v>
      </c>
      <c r="G35" s="91">
        <v>16.536089</v>
      </c>
      <c r="H35" s="91">
        <v>123.10005</v>
      </c>
      <c r="I35" s="89">
        <v>40.742291000000002</v>
      </c>
      <c r="J35" s="92">
        <v>703.673315</v>
      </c>
    </row>
    <row r="36" spans="2:10" x14ac:dyDescent="0.2">
      <c r="B36" s="88">
        <v>2020</v>
      </c>
      <c r="C36" s="91">
        <v>93.240984999999995</v>
      </c>
      <c r="D36" s="91">
        <v>43.179867999999999</v>
      </c>
      <c r="E36" s="93">
        <v>27.338647999999999</v>
      </c>
      <c r="F36" s="91">
        <v>37.79748</v>
      </c>
      <c r="G36" s="91">
        <v>5.9442870000000001</v>
      </c>
      <c r="H36" s="91">
        <v>39.424332999999997</v>
      </c>
      <c r="I36" s="93">
        <v>16.433261999999999</v>
      </c>
      <c r="J36" s="94">
        <v>263.35886299999999</v>
      </c>
    </row>
    <row r="37" spans="2:10" x14ac:dyDescent="0.2">
      <c r="B37" s="88">
        <v>2021</v>
      </c>
      <c r="C37" s="91">
        <v>118.420035</v>
      </c>
      <c r="D37" s="91">
        <v>54.334018999999998</v>
      </c>
      <c r="E37" s="95">
        <v>36.913632</v>
      </c>
      <c r="F37" s="91">
        <v>53.573751000000001</v>
      </c>
      <c r="G37" s="91">
        <v>9.5149249999999999</v>
      </c>
      <c r="H37" s="91">
        <v>64.891451000000004</v>
      </c>
      <c r="I37" s="95">
        <v>21.719604</v>
      </c>
      <c r="J37" s="94">
        <v>359.36741699999999</v>
      </c>
    </row>
    <row r="38" spans="2:10" x14ac:dyDescent="0.2">
      <c r="B38" s="88">
        <v>2022</v>
      </c>
      <c r="C38" s="91">
        <v>186.705714</v>
      </c>
      <c r="D38" s="91">
        <v>77.398857000000007</v>
      </c>
      <c r="E38" s="91">
        <v>56.137948999999999</v>
      </c>
      <c r="F38" s="91">
        <v>78.776251000000002</v>
      </c>
      <c r="G38" s="91">
        <v>13.508516</v>
      </c>
      <c r="H38" s="91">
        <v>97.981031999999999</v>
      </c>
      <c r="I38" s="91">
        <v>33.903796999999997</v>
      </c>
      <c r="J38" s="94">
        <v>544.41211599999997</v>
      </c>
    </row>
    <row r="39" spans="2:10" x14ac:dyDescent="0.2">
      <c r="B39" s="88">
        <v>2023</v>
      </c>
      <c r="C39" s="91">
        <v>206.73</v>
      </c>
      <c r="D39" s="91">
        <v>84.74</v>
      </c>
      <c r="E39" s="91">
        <v>63.04</v>
      </c>
      <c r="F39" s="91">
        <v>87.13</v>
      </c>
      <c r="G39" s="91">
        <v>14.9</v>
      </c>
      <c r="H39" s="91">
        <v>104.34</v>
      </c>
      <c r="I39" s="91">
        <v>38.21</v>
      </c>
      <c r="J39" s="94">
        <v>599.09</v>
      </c>
    </row>
    <row r="40" spans="2:10" x14ac:dyDescent="0.2">
      <c r="B40" s="88">
        <v>2024</v>
      </c>
      <c r="C40" s="91">
        <v>217.33161200000001</v>
      </c>
      <c r="D40" s="91">
        <v>96.135268999999994</v>
      </c>
      <c r="E40" s="91">
        <v>74.250400999999997</v>
      </c>
      <c r="F40" s="91">
        <v>92.491226999999995</v>
      </c>
      <c r="G40" s="91">
        <v>14.077332</v>
      </c>
      <c r="H40" s="91">
        <v>108.325078</v>
      </c>
      <c r="I40" s="91">
        <v>37.445433000000001</v>
      </c>
      <c r="J40" s="94">
        <v>640.05635199999995</v>
      </c>
    </row>
    <row r="41" spans="2:10" x14ac:dyDescent="0.2">
      <c r="B41" s="88">
        <v>2025</v>
      </c>
      <c r="C41" s="91">
        <v>186.008253</v>
      </c>
      <c r="D41" s="91">
        <v>80.668414999999996</v>
      </c>
      <c r="E41" s="91">
        <v>63.845453999999997</v>
      </c>
      <c r="F41" s="91">
        <v>79.505913000000007</v>
      </c>
      <c r="G41" s="91">
        <v>11.877605000000001</v>
      </c>
      <c r="H41" s="91">
        <v>91.839725999999999</v>
      </c>
      <c r="I41" s="91">
        <v>34.382989999999999</v>
      </c>
      <c r="J41" s="94">
        <v>548.12835600000005</v>
      </c>
    </row>
    <row r="42" spans="2:10" x14ac:dyDescent="0.2">
      <c r="C42" s="96"/>
    </row>
    <row r="43" spans="2:10" x14ac:dyDescent="0.2">
      <c r="C43" s="97"/>
      <c r="D43" s="97"/>
      <c r="E43" s="97"/>
      <c r="F43" s="97"/>
      <c r="G43" s="97"/>
      <c r="H43" s="97"/>
      <c r="I43" s="97"/>
      <c r="J43" s="97"/>
    </row>
    <row r="44" spans="2:10" x14ac:dyDescent="0.2">
      <c r="C44" s="97"/>
      <c r="D44" s="97"/>
      <c r="E44" s="97"/>
      <c r="F44" s="97"/>
      <c r="G44" s="97"/>
      <c r="H44" s="97"/>
      <c r="I44" s="97"/>
      <c r="J44" s="97"/>
    </row>
    <row r="45" spans="2:10" x14ac:dyDescent="0.2">
      <c r="C45" s="98"/>
      <c r="D45" s="98"/>
      <c r="E45" s="98"/>
      <c r="F45" s="98"/>
      <c r="G45" s="98"/>
      <c r="H45" s="98"/>
      <c r="I45" s="98"/>
      <c r="J45" s="98"/>
    </row>
    <row r="46" spans="2:10" x14ac:dyDescent="0.2">
      <c r="E46" s="97"/>
    </row>
  </sheetData>
  <conditionalFormatting sqref="C30:D37 F30:H37">
    <cfRule type="cellIs" dxfId="3" priority="3" operator="equal">
      <formula>""</formula>
    </cfRule>
  </conditionalFormatting>
  <conditionalFormatting sqref="C38:I41">
    <cfRule type="cellIs" dxfId="2" priority="1" operator="equal">
      <formula>""</formula>
    </cfRule>
  </conditionalFormatting>
  <conditionalFormatting sqref="J30:J41">
    <cfRule type="cellIs" dxfId="1" priority="2" operator="equal">
      <formula>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8"/>
  <sheetViews>
    <sheetView workbookViewId="0">
      <selection activeCell="E2" sqref="E1:E1048576"/>
    </sheetView>
  </sheetViews>
  <sheetFormatPr baseColWidth="10" defaultColWidth="11.42578125" defaultRowHeight="12.75" x14ac:dyDescent="0.2"/>
  <cols>
    <col min="1" max="1" width="11.28515625" style="2" customWidth="1"/>
    <col min="2" max="2" width="12.7109375" style="2" customWidth="1"/>
    <col min="3" max="28" width="12.7109375" style="4" customWidth="1"/>
    <col min="29" max="30" width="12.7109375" style="4" bestFit="1" customWidth="1"/>
    <col min="31" max="31" width="12.7109375" style="4" customWidth="1"/>
    <col min="32" max="36" width="12.7109375" style="2" customWidth="1"/>
    <col min="37" max="16384" width="11.42578125" style="2"/>
  </cols>
  <sheetData>
    <row r="1" spans="1:41" s="1" customFormat="1" ht="15.75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</row>
    <row r="2" spans="1:41" s="1" customFormat="1" ht="27.6" customHeight="1" x14ac:dyDescent="0.2">
      <c r="A2" s="25" t="s">
        <v>21</v>
      </c>
      <c r="B2" s="25"/>
      <c r="C2" s="25"/>
      <c r="D2" s="25"/>
      <c r="E2" s="25"/>
      <c r="F2" s="25"/>
      <c r="G2" s="25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G2" s="22"/>
      <c r="AH2" s="22"/>
      <c r="AI2" s="22"/>
      <c r="AJ2" s="22"/>
    </row>
    <row r="3" spans="1:41" ht="14.25" customHeight="1" x14ac:dyDescent="0.2">
      <c r="A3" s="27"/>
      <c r="B3" s="27"/>
      <c r="C3" s="28"/>
      <c r="D3" s="28"/>
      <c r="E3" s="28"/>
      <c r="F3" s="28"/>
      <c r="G3" s="28"/>
      <c r="H3" s="28"/>
      <c r="I3" s="29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30"/>
      <c r="V3" s="30"/>
      <c r="W3" s="28"/>
      <c r="X3" s="28"/>
      <c r="Y3" s="28"/>
      <c r="Z3" s="28"/>
      <c r="AA3" s="28"/>
      <c r="AB3" s="28"/>
      <c r="AC3" s="28"/>
      <c r="AD3" s="28"/>
      <c r="AE3" s="28"/>
    </row>
    <row r="4" spans="1:41" ht="40.5" customHeight="1" x14ac:dyDescent="0.2">
      <c r="A4" s="32" t="s">
        <v>17</v>
      </c>
      <c r="B4" s="13" t="s">
        <v>2</v>
      </c>
      <c r="C4" s="15" t="s">
        <v>3</v>
      </c>
      <c r="D4" s="15" t="s">
        <v>4</v>
      </c>
      <c r="E4" s="15" t="s">
        <v>5</v>
      </c>
      <c r="F4" s="31" t="s">
        <v>6</v>
      </c>
      <c r="G4" s="13" t="s">
        <v>7</v>
      </c>
      <c r="H4" s="15" t="s">
        <v>3</v>
      </c>
      <c r="I4" s="15" t="s">
        <v>4</v>
      </c>
      <c r="J4" s="15" t="s">
        <v>5</v>
      </c>
      <c r="K4" s="31" t="s">
        <v>6</v>
      </c>
      <c r="L4" s="13" t="s">
        <v>8</v>
      </c>
      <c r="M4" s="15" t="s">
        <v>3</v>
      </c>
      <c r="N4" s="15" t="s">
        <v>4</v>
      </c>
      <c r="O4" s="15" t="s">
        <v>5</v>
      </c>
      <c r="P4" s="31" t="s">
        <v>6</v>
      </c>
      <c r="Q4" s="13" t="s">
        <v>9</v>
      </c>
      <c r="R4" s="15" t="s">
        <v>3</v>
      </c>
      <c r="S4" s="15" t="s">
        <v>4</v>
      </c>
      <c r="T4" s="15" t="s">
        <v>5</v>
      </c>
      <c r="U4" s="31" t="s">
        <v>6</v>
      </c>
      <c r="V4" s="13" t="s">
        <v>10</v>
      </c>
      <c r="W4" s="15" t="s">
        <v>3</v>
      </c>
      <c r="X4" s="15" t="s">
        <v>4</v>
      </c>
      <c r="Y4" s="15" t="s">
        <v>5</v>
      </c>
      <c r="Z4" s="31" t="s">
        <v>6</v>
      </c>
      <c r="AA4" s="13" t="s">
        <v>11</v>
      </c>
      <c r="AB4" s="15" t="s">
        <v>3</v>
      </c>
      <c r="AC4" s="15" t="s">
        <v>4</v>
      </c>
      <c r="AD4" s="15" t="s">
        <v>5</v>
      </c>
      <c r="AE4" s="31" t="s">
        <v>6</v>
      </c>
      <c r="AF4" s="13" t="s">
        <v>12</v>
      </c>
      <c r="AG4" s="15" t="s">
        <v>3</v>
      </c>
      <c r="AH4" s="15" t="s">
        <v>4</v>
      </c>
      <c r="AI4" s="15" t="s">
        <v>5</v>
      </c>
      <c r="AJ4" s="15" t="s">
        <v>6</v>
      </c>
      <c r="AK4" s="13" t="s">
        <v>13</v>
      </c>
      <c r="AL4" s="15" t="s">
        <v>3</v>
      </c>
      <c r="AM4" s="15" t="s">
        <v>4</v>
      </c>
      <c r="AN4" s="15" t="s">
        <v>5</v>
      </c>
      <c r="AO4" s="15" t="s">
        <v>6</v>
      </c>
    </row>
    <row r="5" spans="1:41" ht="13.5" customHeight="1" x14ac:dyDescent="0.2">
      <c r="A5" s="26">
        <v>40179</v>
      </c>
      <c r="B5" s="16">
        <v>45448230</v>
      </c>
      <c r="C5" s="16">
        <v>35876494</v>
      </c>
      <c r="D5" s="16">
        <v>9571736</v>
      </c>
      <c r="E5" s="16">
        <v>8995586</v>
      </c>
      <c r="F5" s="16">
        <v>576150</v>
      </c>
      <c r="G5" s="16">
        <v>19096868</v>
      </c>
      <c r="H5" s="16">
        <v>15320325</v>
      </c>
      <c r="I5" s="16">
        <v>3776543</v>
      </c>
      <c r="J5" s="16">
        <v>3589795</v>
      </c>
      <c r="K5" s="16">
        <v>186748</v>
      </c>
      <c r="L5" s="16">
        <v>9004433</v>
      </c>
      <c r="M5" s="16">
        <v>7038508</v>
      </c>
      <c r="N5" s="16">
        <v>1965925</v>
      </c>
      <c r="O5" s="16">
        <v>1817495</v>
      </c>
      <c r="P5" s="16">
        <v>148430</v>
      </c>
      <c r="Q5" s="16">
        <v>8689441</v>
      </c>
      <c r="R5" s="16">
        <v>6790499</v>
      </c>
      <c r="S5" s="16">
        <v>1898942</v>
      </c>
      <c r="T5" s="16">
        <v>1775091</v>
      </c>
      <c r="U5" s="16">
        <v>123851</v>
      </c>
      <c r="V5" s="16">
        <v>1465846</v>
      </c>
      <c r="W5" s="16">
        <v>1155296</v>
      </c>
      <c r="X5" s="16">
        <v>310550</v>
      </c>
      <c r="Y5" s="16">
        <v>283303</v>
      </c>
      <c r="Z5" s="16">
        <v>27247</v>
      </c>
      <c r="AA5" s="16">
        <v>7191642</v>
      </c>
      <c r="AB5" s="16">
        <v>5571866</v>
      </c>
      <c r="AC5" s="16">
        <v>1619776</v>
      </c>
      <c r="AD5" s="16">
        <v>1529902</v>
      </c>
      <c r="AE5" s="16">
        <v>89874</v>
      </c>
      <c r="AF5" s="5"/>
      <c r="AG5" s="5"/>
      <c r="AH5" s="5"/>
      <c r="AI5" s="5"/>
      <c r="AJ5" s="5"/>
    </row>
    <row r="6" spans="1:41" ht="13.5" customHeight="1" x14ac:dyDescent="0.2">
      <c r="A6" s="26">
        <v>40210</v>
      </c>
      <c r="B6" s="16">
        <v>35380504</v>
      </c>
      <c r="C6" s="16">
        <v>30168805</v>
      </c>
      <c r="D6" s="16">
        <v>5211699</v>
      </c>
      <c r="E6" s="16">
        <v>5074189</v>
      </c>
      <c r="F6" s="16">
        <v>137510</v>
      </c>
      <c r="G6" s="16">
        <v>14672104</v>
      </c>
      <c r="H6" s="16">
        <v>12648074</v>
      </c>
      <c r="I6" s="16">
        <v>2024030</v>
      </c>
      <c r="J6" s="16">
        <v>1978204</v>
      </c>
      <c r="K6" s="16">
        <v>45826</v>
      </c>
      <c r="L6" s="16">
        <v>6960847</v>
      </c>
      <c r="M6" s="16">
        <v>5908258</v>
      </c>
      <c r="N6" s="16">
        <v>1052589</v>
      </c>
      <c r="O6" s="16">
        <v>1017391</v>
      </c>
      <c r="P6" s="16">
        <v>35198</v>
      </c>
      <c r="Q6" s="16">
        <v>6736630</v>
      </c>
      <c r="R6" s="16">
        <v>5693712</v>
      </c>
      <c r="S6" s="16">
        <v>1042918</v>
      </c>
      <c r="T6" s="16">
        <v>1017197</v>
      </c>
      <c r="U6" s="16">
        <v>25721</v>
      </c>
      <c r="V6" s="16">
        <v>1174880</v>
      </c>
      <c r="W6" s="16">
        <v>1004981</v>
      </c>
      <c r="X6" s="16">
        <v>169899</v>
      </c>
      <c r="Y6" s="16">
        <v>164900</v>
      </c>
      <c r="Z6" s="16">
        <v>4999</v>
      </c>
      <c r="AA6" s="16">
        <v>5836043</v>
      </c>
      <c r="AB6" s="16">
        <v>4913780</v>
      </c>
      <c r="AC6" s="16">
        <v>922263</v>
      </c>
      <c r="AD6" s="16">
        <v>896497</v>
      </c>
      <c r="AE6" s="16">
        <v>25766</v>
      </c>
      <c r="AF6" s="5"/>
      <c r="AG6" s="5"/>
      <c r="AH6" s="5"/>
      <c r="AI6" s="5"/>
      <c r="AJ6" s="5"/>
    </row>
    <row r="7" spans="1:41" ht="13.5" customHeight="1" x14ac:dyDescent="0.2">
      <c r="A7" s="26">
        <v>40238</v>
      </c>
      <c r="B7" s="16">
        <v>50872123</v>
      </c>
      <c r="C7" s="16">
        <v>38427621</v>
      </c>
      <c r="D7" s="16">
        <v>12444502</v>
      </c>
      <c r="E7" s="16">
        <v>11469330</v>
      </c>
      <c r="F7" s="16">
        <v>975172</v>
      </c>
      <c r="G7" s="16">
        <v>21182839</v>
      </c>
      <c r="H7" s="16">
        <v>16178579</v>
      </c>
      <c r="I7" s="16">
        <v>5004260</v>
      </c>
      <c r="J7" s="16">
        <v>4687592</v>
      </c>
      <c r="K7" s="16">
        <v>316668</v>
      </c>
      <c r="L7" s="16">
        <v>9925404</v>
      </c>
      <c r="M7" s="16">
        <v>7355672</v>
      </c>
      <c r="N7" s="16">
        <v>2569732</v>
      </c>
      <c r="O7" s="16">
        <v>2321667</v>
      </c>
      <c r="P7" s="16">
        <v>248065</v>
      </c>
      <c r="Q7" s="16">
        <v>9734200</v>
      </c>
      <c r="R7" s="16">
        <v>7414078</v>
      </c>
      <c r="S7" s="16">
        <v>2320122</v>
      </c>
      <c r="T7" s="16">
        <v>2121585</v>
      </c>
      <c r="U7" s="16">
        <v>198537</v>
      </c>
      <c r="V7" s="16">
        <v>1641163</v>
      </c>
      <c r="W7" s="16">
        <v>1254776</v>
      </c>
      <c r="X7" s="16">
        <v>386387</v>
      </c>
      <c r="Y7" s="16">
        <v>346368</v>
      </c>
      <c r="Z7" s="16">
        <v>40019</v>
      </c>
      <c r="AA7" s="16">
        <v>8388517</v>
      </c>
      <c r="AB7" s="16">
        <v>6224516</v>
      </c>
      <c r="AC7" s="16">
        <v>2164001</v>
      </c>
      <c r="AD7" s="16">
        <v>1992118</v>
      </c>
      <c r="AE7" s="16">
        <v>171883</v>
      </c>
      <c r="AF7" s="5"/>
      <c r="AG7" s="5"/>
      <c r="AH7" s="5"/>
      <c r="AI7" s="5"/>
      <c r="AJ7" s="5"/>
    </row>
    <row r="8" spans="1:41" ht="13.5" customHeight="1" x14ac:dyDescent="0.2">
      <c r="A8" s="26">
        <v>40269</v>
      </c>
      <c r="B8" s="16">
        <v>55724226</v>
      </c>
      <c r="C8" s="16">
        <v>39097224</v>
      </c>
      <c r="D8" s="16">
        <v>16627002</v>
      </c>
      <c r="E8" s="16">
        <v>15312872</v>
      </c>
      <c r="F8" s="16">
        <v>1314130</v>
      </c>
      <c r="G8" s="16">
        <v>23579130</v>
      </c>
      <c r="H8" s="16">
        <v>16637812</v>
      </c>
      <c r="I8" s="16">
        <v>6941318</v>
      </c>
      <c r="J8" s="16">
        <v>6495465</v>
      </c>
      <c r="K8" s="16">
        <v>445853</v>
      </c>
      <c r="L8" s="16">
        <v>10936130</v>
      </c>
      <c r="M8" s="16">
        <v>7495620</v>
      </c>
      <c r="N8" s="16">
        <v>3440510</v>
      </c>
      <c r="O8" s="16">
        <v>3109260</v>
      </c>
      <c r="P8" s="16">
        <v>331250</v>
      </c>
      <c r="Q8" s="16">
        <v>10231468</v>
      </c>
      <c r="R8" s="16">
        <v>7359522</v>
      </c>
      <c r="S8" s="16">
        <v>2871946</v>
      </c>
      <c r="T8" s="16">
        <v>2619894</v>
      </c>
      <c r="U8" s="16">
        <v>252052</v>
      </c>
      <c r="V8" s="16">
        <v>1732436</v>
      </c>
      <c r="W8" s="16">
        <v>1239238</v>
      </c>
      <c r="X8" s="16">
        <v>493198</v>
      </c>
      <c r="Y8" s="16">
        <v>443490</v>
      </c>
      <c r="Z8" s="16">
        <v>49708</v>
      </c>
      <c r="AA8" s="16">
        <v>9245062</v>
      </c>
      <c r="AB8" s="16">
        <v>6365032</v>
      </c>
      <c r="AC8" s="16">
        <v>2880030</v>
      </c>
      <c r="AD8" s="16">
        <v>2644763</v>
      </c>
      <c r="AE8" s="16">
        <v>235267</v>
      </c>
      <c r="AF8" s="5"/>
      <c r="AG8" s="5"/>
      <c r="AH8" s="5"/>
      <c r="AI8" s="5"/>
      <c r="AJ8" s="5"/>
    </row>
    <row r="9" spans="1:41" ht="13.5" customHeight="1" x14ac:dyDescent="0.2">
      <c r="A9" s="26">
        <v>40299</v>
      </c>
      <c r="B9" s="16">
        <v>55332802</v>
      </c>
      <c r="C9" s="16">
        <v>38358934</v>
      </c>
      <c r="D9" s="16">
        <v>16973868</v>
      </c>
      <c r="E9" s="16">
        <v>15631219</v>
      </c>
      <c r="F9" s="16">
        <v>1342649</v>
      </c>
      <c r="G9" s="16">
        <v>23094136</v>
      </c>
      <c r="H9" s="16">
        <v>16110826</v>
      </c>
      <c r="I9" s="16">
        <v>6983310</v>
      </c>
      <c r="J9" s="16">
        <v>6535747</v>
      </c>
      <c r="K9" s="16">
        <v>447563</v>
      </c>
      <c r="L9" s="16">
        <v>10964482</v>
      </c>
      <c r="M9" s="16">
        <v>7419274</v>
      </c>
      <c r="N9" s="16">
        <v>3545208</v>
      </c>
      <c r="O9" s="16">
        <v>3200721</v>
      </c>
      <c r="P9" s="16">
        <v>344487</v>
      </c>
      <c r="Q9" s="16">
        <v>10248220</v>
      </c>
      <c r="R9" s="16">
        <v>7289847</v>
      </c>
      <c r="S9" s="16">
        <v>2958373</v>
      </c>
      <c r="T9" s="16">
        <v>2698556</v>
      </c>
      <c r="U9" s="16">
        <v>259817</v>
      </c>
      <c r="V9" s="16">
        <v>1753874</v>
      </c>
      <c r="W9" s="16">
        <v>1243014</v>
      </c>
      <c r="X9" s="16">
        <v>510860</v>
      </c>
      <c r="Y9" s="16">
        <v>460835</v>
      </c>
      <c r="Z9" s="16">
        <v>50025</v>
      </c>
      <c r="AA9" s="16">
        <v>9272090</v>
      </c>
      <c r="AB9" s="16">
        <v>6295973</v>
      </c>
      <c r="AC9" s="16">
        <v>2976117</v>
      </c>
      <c r="AD9" s="16">
        <v>2735360</v>
      </c>
      <c r="AE9" s="16">
        <v>240757</v>
      </c>
      <c r="AF9" s="5"/>
      <c r="AG9" s="5"/>
      <c r="AH9" s="5"/>
      <c r="AI9" s="5"/>
      <c r="AJ9" s="5"/>
    </row>
    <row r="10" spans="1:41" ht="13.5" customHeight="1" x14ac:dyDescent="0.2">
      <c r="A10" s="26">
        <v>40330</v>
      </c>
      <c r="B10" s="16">
        <v>54006430</v>
      </c>
      <c r="C10" s="16">
        <v>38503914</v>
      </c>
      <c r="D10" s="16">
        <v>15502516</v>
      </c>
      <c r="E10" s="16">
        <v>14494578</v>
      </c>
      <c r="F10" s="16">
        <v>1007938</v>
      </c>
      <c r="G10" s="16">
        <v>22619153</v>
      </c>
      <c r="H10" s="16">
        <v>16145405</v>
      </c>
      <c r="I10" s="16">
        <v>6473748</v>
      </c>
      <c r="J10" s="16">
        <v>6134737</v>
      </c>
      <c r="K10" s="16">
        <v>339011</v>
      </c>
      <c r="L10" s="16">
        <v>10560276</v>
      </c>
      <c r="M10" s="16">
        <v>7339961</v>
      </c>
      <c r="N10" s="16">
        <v>3220315</v>
      </c>
      <c r="O10" s="16">
        <v>2960090</v>
      </c>
      <c r="P10" s="16">
        <v>260225</v>
      </c>
      <c r="Q10" s="16">
        <v>10020020</v>
      </c>
      <c r="R10" s="16">
        <v>7375783</v>
      </c>
      <c r="S10" s="16">
        <v>2644237</v>
      </c>
      <c r="T10" s="16">
        <v>2451595</v>
      </c>
      <c r="U10" s="16">
        <v>192642</v>
      </c>
      <c r="V10" s="16">
        <v>1700826</v>
      </c>
      <c r="W10" s="16">
        <v>1245555</v>
      </c>
      <c r="X10" s="16">
        <v>455271</v>
      </c>
      <c r="Y10" s="16">
        <v>418559</v>
      </c>
      <c r="Z10" s="16">
        <v>36712</v>
      </c>
      <c r="AA10" s="16">
        <v>9106155</v>
      </c>
      <c r="AB10" s="16">
        <v>6397210</v>
      </c>
      <c r="AC10" s="16">
        <v>2708945</v>
      </c>
      <c r="AD10" s="16">
        <v>2529597</v>
      </c>
      <c r="AE10" s="16">
        <v>179348</v>
      </c>
      <c r="AF10" s="5"/>
      <c r="AG10" s="5"/>
      <c r="AH10" s="5"/>
      <c r="AI10" s="5"/>
      <c r="AJ10" s="5"/>
    </row>
    <row r="11" spans="1:41" ht="13.5" customHeight="1" x14ac:dyDescent="0.2">
      <c r="A11" s="26">
        <v>40360</v>
      </c>
      <c r="B11" s="16">
        <v>52582599</v>
      </c>
      <c r="C11" s="16">
        <v>38626025</v>
      </c>
      <c r="D11" s="16">
        <v>13956574</v>
      </c>
      <c r="E11" s="16">
        <v>12945010</v>
      </c>
      <c r="F11" s="16">
        <v>1011564</v>
      </c>
      <c r="G11" s="16">
        <v>21976399</v>
      </c>
      <c r="H11" s="16">
        <v>16300836</v>
      </c>
      <c r="I11" s="16">
        <v>5675563</v>
      </c>
      <c r="J11" s="16">
        <v>5341411</v>
      </c>
      <c r="K11" s="16">
        <v>334152</v>
      </c>
      <c r="L11" s="16">
        <v>10227595</v>
      </c>
      <c r="M11" s="16">
        <v>7376352</v>
      </c>
      <c r="N11" s="16">
        <v>2851243</v>
      </c>
      <c r="O11" s="16">
        <v>2600683</v>
      </c>
      <c r="P11" s="16">
        <v>250560</v>
      </c>
      <c r="Q11" s="16">
        <v>9799560</v>
      </c>
      <c r="R11" s="16">
        <v>7267073</v>
      </c>
      <c r="S11" s="16">
        <v>2532487</v>
      </c>
      <c r="T11" s="16">
        <v>2324680</v>
      </c>
      <c r="U11" s="16">
        <v>207807</v>
      </c>
      <c r="V11" s="16">
        <v>1662830</v>
      </c>
      <c r="W11" s="16">
        <v>1234931</v>
      </c>
      <c r="X11" s="16">
        <v>427899</v>
      </c>
      <c r="Y11" s="16">
        <v>389049</v>
      </c>
      <c r="Z11" s="16">
        <v>38850</v>
      </c>
      <c r="AA11" s="16">
        <v>8916215</v>
      </c>
      <c r="AB11" s="16">
        <v>6446833</v>
      </c>
      <c r="AC11" s="16">
        <v>2469382</v>
      </c>
      <c r="AD11" s="16">
        <v>2289187</v>
      </c>
      <c r="AE11" s="16">
        <v>180195</v>
      </c>
      <c r="AF11" s="5"/>
      <c r="AG11" s="5"/>
      <c r="AH11" s="5"/>
      <c r="AI11" s="5"/>
      <c r="AJ11" s="5"/>
    </row>
    <row r="12" spans="1:41" ht="13.5" customHeight="1" x14ac:dyDescent="0.2">
      <c r="A12" s="26">
        <v>40391</v>
      </c>
      <c r="B12" s="16">
        <v>55761621</v>
      </c>
      <c r="C12" s="16">
        <v>39568205</v>
      </c>
      <c r="D12" s="16">
        <v>16193416</v>
      </c>
      <c r="E12" s="16">
        <v>15026019</v>
      </c>
      <c r="F12" s="16">
        <v>1167397</v>
      </c>
      <c r="G12" s="16">
        <v>23393198</v>
      </c>
      <c r="H12" s="16">
        <v>16750545</v>
      </c>
      <c r="I12" s="16">
        <v>6642653</v>
      </c>
      <c r="J12" s="16">
        <v>6256881</v>
      </c>
      <c r="K12" s="16">
        <v>385772</v>
      </c>
      <c r="L12" s="16">
        <v>10831638</v>
      </c>
      <c r="M12" s="16">
        <v>7492260</v>
      </c>
      <c r="N12" s="16">
        <v>3339378</v>
      </c>
      <c r="O12" s="16">
        <v>3043219</v>
      </c>
      <c r="P12" s="16">
        <v>296159</v>
      </c>
      <c r="Q12" s="16">
        <v>10315689</v>
      </c>
      <c r="R12" s="16">
        <v>7478548</v>
      </c>
      <c r="S12" s="16">
        <v>2837141</v>
      </c>
      <c r="T12" s="16">
        <v>2607646</v>
      </c>
      <c r="U12" s="16">
        <v>229495</v>
      </c>
      <c r="V12" s="16">
        <v>1741775</v>
      </c>
      <c r="W12" s="16">
        <v>1261590</v>
      </c>
      <c r="X12" s="16">
        <v>480185</v>
      </c>
      <c r="Y12" s="16">
        <v>438194</v>
      </c>
      <c r="Z12" s="16">
        <v>41991</v>
      </c>
      <c r="AA12" s="16">
        <v>9479321</v>
      </c>
      <c r="AB12" s="16">
        <v>6585262</v>
      </c>
      <c r="AC12" s="16">
        <v>2894059</v>
      </c>
      <c r="AD12" s="16">
        <v>2680079</v>
      </c>
      <c r="AE12" s="16">
        <v>213980</v>
      </c>
      <c r="AF12" s="5"/>
      <c r="AG12" s="5"/>
      <c r="AH12" s="5"/>
      <c r="AI12" s="5"/>
      <c r="AJ12" s="5"/>
    </row>
    <row r="13" spans="1:41" ht="13.5" customHeight="1" x14ac:dyDescent="0.2">
      <c r="A13" s="26">
        <v>40422</v>
      </c>
      <c r="B13" s="16">
        <v>52634247</v>
      </c>
      <c r="C13" s="16">
        <v>36778399</v>
      </c>
      <c r="D13" s="16">
        <v>15855848</v>
      </c>
      <c r="E13" s="16">
        <v>14696954</v>
      </c>
      <c r="F13" s="16">
        <v>1158894</v>
      </c>
      <c r="G13" s="16">
        <v>21976351</v>
      </c>
      <c r="H13" s="16">
        <v>15462970</v>
      </c>
      <c r="I13" s="16">
        <v>6513381</v>
      </c>
      <c r="J13" s="16">
        <v>6127296</v>
      </c>
      <c r="K13" s="16">
        <v>386085</v>
      </c>
      <c r="L13" s="16">
        <v>10517022</v>
      </c>
      <c r="M13" s="16">
        <v>7209389</v>
      </c>
      <c r="N13" s="16">
        <v>3307633</v>
      </c>
      <c r="O13" s="16">
        <v>3007467</v>
      </c>
      <c r="P13" s="16">
        <v>300166</v>
      </c>
      <c r="Q13" s="16">
        <v>9633434</v>
      </c>
      <c r="R13" s="16">
        <v>6873776</v>
      </c>
      <c r="S13" s="16">
        <v>2759658</v>
      </c>
      <c r="T13" s="16">
        <v>2534779</v>
      </c>
      <c r="U13" s="16">
        <v>224879</v>
      </c>
      <c r="V13" s="16">
        <v>1623504</v>
      </c>
      <c r="W13" s="16">
        <v>1160717</v>
      </c>
      <c r="X13" s="16">
        <v>462787</v>
      </c>
      <c r="Y13" s="16">
        <v>420391</v>
      </c>
      <c r="Z13" s="16">
        <v>42396</v>
      </c>
      <c r="AA13" s="16">
        <v>8883936</v>
      </c>
      <c r="AB13" s="16">
        <v>6071547</v>
      </c>
      <c r="AC13" s="16">
        <v>2812389</v>
      </c>
      <c r="AD13" s="16">
        <v>2607021</v>
      </c>
      <c r="AE13" s="16">
        <v>205368</v>
      </c>
      <c r="AF13" s="5"/>
      <c r="AG13" s="5"/>
      <c r="AH13" s="5"/>
      <c r="AI13" s="5"/>
      <c r="AJ13" s="5"/>
    </row>
    <row r="14" spans="1:41" ht="13.5" customHeight="1" x14ac:dyDescent="0.2">
      <c r="A14" s="26">
        <v>40452</v>
      </c>
      <c r="B14" s="16">
        <v>55397610</v>
      </c>
      <c r="C14" s="16">
        <v>38253907</v>
      </c>
      <c r="D14" s="16">
        <v>17143703</v>
      </c>
      <c r="E14" s="16">
        <v>15884929</v>
      </c>
      <c r="F14" s="16">
        <v>1258774</v>
      </c>
      <c r="G14" s="16">
        <v>23015590</v>
      </c>
      <c r="H14" s="16">
        <v>16042256</v>
      </c>
      <c r="I14" s="16">
        <v>6973334</v>
      </c>
      <c r="J14" s="16">
        <v>6560994</v>
      </c>
      <c r="K14" s="16">
        <v>412340</v>
      </c>
      <c r="L14" s="16">
        <v>10981353</v>
      </c>
      <c r="M14" s="16">
        <v>7411868</v>
      </c>
      <c r="N14" s="16">
        <v>3569485</v>
      </c>
      <c r="O14" s="16">
        <v>3246771</v>
      </c>
      <c r="P14" s="16">
        <v>322714</v>
      </c>
      <c r="Q14" s="16">
        <v>10217714</v>
      </c>
      <c r="R14" s="16">
        <v>7206397</v>
      </c>
      <c r="S14" s="16">
        <v>3011317</v>
      </c>
      <c r="T14" s="16">
        <v>2762534</v>
      </c>
      <c r="U14" s="16">
        <v>248783</v>
      </c>
      <c r="V14" s="16">
        <v>1698950</v>
      </c>
      <c r="W14" s="16">
        <v>1197767</v>
      </c>
      <c r="X14" s="16">
        <v>501183</v>
      </c>
      <c r="Y14" s="16">
        <v>456585</v>
      </c>
      <c r="Z14" s="16">
        <v>44598</v>
      </c>
      <c r="AA14" s="16">
        <v>9484003</v>
      </c>
      <c r="AB14" s="16">
        <v>6395619</v>
      </c>
      <c r="AC14" s="16">
        <v>3088384</v>
      </c>
      <c r="AD14" s="16">
        <v>2858045</v>
      </c>
      <c r="AE14" s="16">
        <v>230339</v>
      </c>
      <c r="AF14" s="5"/>
      <c r="AG14" s="5"/>
      <c r="AH14" s="5"/>
      <c r="AI14" s="5"/>
      <c r="AJ14" s="5"/>
    </row>
    <row r="15" spans="1:41" ht="13.5" customHeight="1" x14ac:dyDescent="0.2">
      <c r="A15" s="26">
        <v>40483</v>
      </c>
      <c r="B15" s="16">
        <v>54682325</v>
      </c>
      <c r="C15" s="16">
        <v>37862610</v>
      </c>
      <c r="D15" s="16">
        <v>16819715</v>
      </c>
      <c r="E15" s="16">
        <v>15568967</v>
      </c>
      <c r="F15" s="16">
        <v>1250748</v>
      </c>
      <c r="G15" s="16">
        <v>22891433</v>
      </c>
      <c r="H15" s="16">
        <v>16002735</v>
      </c>
      <c r="I15" s="16">
        <v>6888698</v>
      </c>
      <c r="J15" s="16">
        <v>6476242</v>
      </c>
      <c r="K15" s="16">
        <v>412456</v>
      </c>
      <c r="L15" s="16">
        <v>10814037</v>
      </c>
      <c r="M15" s="16">
        <v>7296921</v>
      </c>
      <c r="N15" s="16">
        <v>3517116</v>
      </c>
      <c r="O15" s="16">
        <v>3194527</v>
      </c>
      <c r="P15" s="16">
        <v>322589</v>
      </c>
      <c r="Q15" s="16">
        <v>10097772</v>
      </c>
      <c r="R15" s="16">
        <v>7137567</v>
      </c>
      <c r="S15" s="16">
        <v>2960205</v>
      </c>
      <c r="T15" s="16">
        <v>2712331</v>
      </c>
      <c r="U15" s="16">
        <v>247874</v>
      </c>
      <c r="V15" s="16">
        <v>1548436</v>
      </c>
      <c r="W15" s="16">
        <v>1095071</v>
      </c>
      <c r="X15" s="16">
        <v>453365</v>
      </c>
      <c r="Y15" s="16">
        <v>413848</v>
      </c>
      <c r="Z15" s="16">
        <v>39517</v>
      </c>
      <c r="AA15" s="16">
        <v>9330647</v>
      </c>
      <c r="AB15" s="16">
        <v>6330316</v>
      </c>
      <c r="AC15" s="16">
        <v>3000331</v>
      </c>
      <c r="AD15" s="16">
        <v>2772019</v>
      </c>
      <c r="AE15" s="16">
        <v>228312</v>
      </c>
      <c r="AF15" s="5"/>
      <c r="AG15" s="5"/>
      <c r="AH15" s="5"/>
      <c r="AI15" s="5"/>
      <c r="AJ15" s="5"/>
    </row>
    <row r="16" spans="1:41" ht="13.5" customHeight="1" x14ac:dyDescent="0.2">
      <c r="A16" s="26">
        <v>40513</v>
      </c>
      <c r="B16" s="16">
        <v>52898157</v>
      </c>
      <c r="C16" s="16">
        <v>38472135</v>
      </c>
      <c r="D16" s="16">
        <v>14426022</v>
      </c>
      <c r="E16" s="16">
        <v>13264853</v>
      </c>
      <c r="F16" s="16">
        <v>1161169</v>
      </c>
      <c r="G16" s="16">
        <v>22005937</v>
      </c>
      <c r="H16" s="16">
        <v>16268094</v>
      </c>
      <c r="I16" s="16">
        <v>5737843</v>
      </c>
      <c r="J16" s="16">
        <v>5367789</v>
      </c>
      <c r="K16" s="16">
        <v>370054</v>
      </c>
      <c r="L16" s="16">
        <v>10578732</v>
      </c>
      <c r="M16" s="16">
        <v>7545868</v>
      </c>
      <c r="N16" s="16">
        <v>3032864</v>
      </c>
      <c r="O16" s="16">
        <v>2733345</v>
      </c>
      <c r="P16" s="16">
        <v>299519</v>
      </c>
      <c r="Q16" s="16">
        <v>9943255</v>
      </c>
      <c r="R16" s="16">
        <v>7235956</v>
      </c>
      <c r="S16" s="16">
        <v>2707299</v>
      </c>
      <c r="T16" s="16">
        <v>2463185</v>
      </c>
      <c r="U16" s="16">
        <v>244114</v>
      </c>
      <c r="V16" s="16">
        <v>1283550</v>
      </c>
      <c r="W16" s="16">
        <v>943056</v>
      </c>
      <c r="X16" s="16">
        <v>340494</v>
      </c>
      <c r="Y16" s="16">
        <v>306835</v>
      </c>
      <c r="Z16" s="16">
        <v>33659</v>
      </c>
      <c r="AA16" s="16">
        <v>9086683</v>
      </c>
      <c r="AB16" s="16">
        <v>6479161</v>
      </c>
      <c r="AC16" s="16">
        <v>2607522</v>
      </c>
      <c r="AD16" s="16">
        <v>2393699</v>
      </c>
      <c r="AE16" s="16">
        <v>213823</v>
      </c>
      <c r="AF16" s="5"/>
      <c r="AG16" s="5"/>
      <c r="AH16" s="5"/>
      <c r="AI16" s="5"/>
      <c r="AJ16" s="5"/>
    </row>
    <row r="17" spans="1:36" ht="13.5" customHeight="1" x14ac:dyDescent="0.2">
      <c r="A17" s="26">
        <v>40544</v>
      </c>
      <c r="B17" s="16">
        <v>45173385</v>
      </c>
      <c r="C17" s="16">
        <v>34980983</v>
      </c>
      <c r="D17" s="16">
        <v>10192402</v>
      </c>
      <c r="E17" s="16">
        <v>9740610</v>
      </c>
      <c r="F17" s="16">
        <v>451792</v>
      </c>
      <c r="G17" s="16">
        <v>18854183</v>
      </c>
      <c r="H17" s="16">
        <v>14831535</v>
      </c>
      <c r="I17" s="16">
        <v>4022648</v>
      </c>
      <c r="J17" s="16">
        <v>3877666</v>
      </c>
      <c r="K17" s="16">
        <v>144982</v>
      </c>
      <c r="L17" s="16">
        <v>8797910</v>
      </c>
      <c r="M17" s="16">
        <v>6733689</v>
      </c>
      <c r="N17" s="16">
        <v>2064221</v>
      </c>
      <c r="O17" s="16">
        <v>1952479</v>
      </c>
      <c r="P17" s="16">
        <v>111742</v>
      </c>
      <c r="Q17" s="16">
        <v>8547657</v>
      </c>
      <c r="R17" s="16">
        <v>6570849</v>
      </c>
      <c r="S17" s="16">
        <v>1976808</v>
      </c>
      <c r="T17" s="16">
        <v>1880671</v>
      </c>
      <c r="U17" s="16">
        <v>96137</v>
      </c>
      <c r="V17" s="16">
        <v>1340066</v>
      </c>
      <c r="W17" s="16">
        <v>1040441</v>
      </c>
      <c r="X17" s="16">
        <v>299625</v>
      </c>
      <c r="Y17" s="16">
        <v>283786</v>
      </c>
      <c r="Z17" s="16">
        <v>15839</v>
      </c>
      <c r="AA17" s="16">
        <v>7633569</v>
      </c>
      <c r="AB17" s="16">
        <v>5804469</v>
      </c>
      <c r="AC17" s="16">
        <v>1829100</v>
      </c>
      <c r="AD17" s="16">
        <v>1746008</v>
      </c>
      <c r="AE17" s="16">
        <v>83092</v>
      </c>
      <c r="AF17" s="5"/>
      <c r="AG17" s="5"/>
      <c r="AH17" s="5"/>
      <c r="AI17" s="5"/>
      <c r="AJ17" s="5"/>
    </row>
    <row r="18" spans="1:36" ht="13.5" customHeight="1" x14ac:dyDescent="0.2">
      <c r="A18" s="26">
        <v>40575</v>
      </c>
      <c r="B18" s="16">
        <v>37022612</v>
      </c>
      <c r="C18" s="16">
        <v>30649822</v>
      </c>
      <c r="D18" s="16">
        <v>6372790</v>
      </c>
      <c r="E18" s="16">
        <v>6216983</v>
      </c>
      <c r="F18" s="16">
        <v>155807</v>
      </c>
      <c r="G18" s="16">
        <v>14231843</v>
      </c>
      <c r="H18" s="16">
        <v>11975817</v>
      </c>
      <c r="I18" s="16">
        <v>2256026</v>
      </c>
      <c r="J18" s="16">
        <v>2211976</v>
      </c>
      <c r="K18" s="16">
        <v>44050</v>
      </c>
      <c r="L18" s="16">
        <v>7119807</v>
      </c>
      <c r="M18" s="16">
        <v>5870913</v>
      </c>
      <c r="N18" s="16">
        <v>1248894</v>
      </c>
      <c r="O18" s="16">
        <v>1217446</v>
      </c>
      <c r="P18" s="16">
        <v>31448</v>
      </c>
      <c r="Q18" s="16">
        <v>6843868</v>
      </c>
      <c r="R18" s="16">
        <v>5611907</v>
      </c>
      <c r="S18" s="16">
        <v>1231961</v>
      </c>
      <c r="T18" s="16">
        <v>1202188</v>
      </c>
      <c r="U18" s="16">
        <v>29773</v>
      </c>
      <c r="V18" s="16">
        <v>1095204</v>
      </c>
      <c r="W18" s="16">
        <v>907762</v>
      </c>
      <c r="X18" s="16">
        <v>187442</v>
      </c>
      <c r="Y18" s="16">
        <v>182709</v>
      </c>
      <c r="Z18" s="16">
        <v>4733</v>
      </c>
      <c r="AA18" s="16">
        <v>7731890</v>
      </c>
      <c r="AB18" s="16">
        <v>6283423</v>
      </c>
      <c r="AC18" s="16">
        <v>1448467</v>
      </c>
      <c r="AD18" s="16">
        <v>1402664</v>
      </c>
      <c r="AE18" s="16">
        <v>45803</v>
      </c>
      <c r="AF18" s="5"/>
      <c r="AG18" s="5"/>
      <c r="AH18" s="5"/>
      <c r="AI18" s="5"/>
      <c r="AJ18" s="5"/>
    </row>
    <row r="19" spans="1:36" ht="13.5" customHeight="1" x14ac:dyDescent="0.2">
      <c r="A19" s="26">
        <v>40603</v>
      </c>
      <c r="B19" s="16">
        <v>56334412</v>
      </c>
      <c r="C19" s="16">
        <v>39862755</v>
      </c>
      <c r="D19" s="16">
        <v>16471657</v>
      </c>
      <c r="E19" s="16">
        <v>15255092</v>
      </c>
      <c r="F19" s="16">
        <v>1216565</v>
      </c>
      <c r="G19" s="16">
        <v>22049639</v>
      </c>
      <c r="H19" s="16">
        <v>15891768</v>
      </c>
      <c r="I19" s="16">
        <v>6157871</v>
      </c>
      <c r="J19" s="16">
        <v>5797727</v>
      </c>
      <c r="K19" s="16">
        <v>360144</v>
      </c>
      <c r="L19" s="16">
        <v>10526005</v>
      </c>
      <c r="M19" s="16">
        <v>7263612</v>
      </c>
      <c r="N19" s="16">
        <v>3262393</v>
      </c>
      <c r="O19" s="16">
        <v>2967791</v>
      </c>
      <c r="P19" s="16">
        <v>294602</v>
      </c>
      <c r="Q19" s="16">
        <v>10230654</v>
      </c>
      <c r="R19" s="16">
        <v>7358483</v>
      </c>
      <c r="S19" s="16">
        <v>2872171</v>
      </c>
      <c r="T19" s="16">
        <v>2656567</v>
      </c>
      <c r="U19" s="16">
        <v>215604</v>
      </c>
      <c r="V19" s="16">
        <v>1590706</v>
      </c>
      <c r="W19" s="16">
        <v>1140340</v>
      </c>
      <c r="X19" s="16">
        <v>450366</v>
      </c>
      <c r="Y19" s="16">
        <v>414935</v>
      </c>
      <c r="Z19" s="16">
        <v>35431</v>
      </c>
      <c r="AA19" s="16">
        <v>11937408</v>
      </c>
      <c r="AB19" s="16">
        <v>8208552</v>
      </c>
      <c r="AC19" s="16">
        <v>3728856</v>
      </c>
      <c r="AD19" s="16">
        <v>3418072</v>
      </c>
      <c r="AE19" s="16">
        <v>310784</v>
      </c>
      <c r="AF19" s="5"/>
      <c r="AG19" s="5"/>
      <c r="AH19" s="5"/>
      <c r="AI19" s="5"/>
      <c r="AJ19" s="5"/>
    </row>
    <row r="20" spans="1:36" ht="13.5" customHeight="1" x14ac:dyDescent="0.2">
      <c r="A20" s="26">
        <v>40634</v>
      </c>
      <c r="B20" s="16">
        <v>55307019</v>
      </c>
      <c r="C20" s="16">
        <v>37297173</v>
      </c>
      <c r="D20" s="16">
        <v>18009846</v>
      </c>
      <c r="E20" s="16">
        <v>16647790</v>
      </c>
      <c r="F20" s="16">
        <v>1362056</v>
      </c>
      <c r="G20" s="16">
        <v>21839320</v>
      </c>
      <c r="H20" s="16">
        <v>14894747</v>
      </c>
      <c r="I20" s="16">
        <v>6944573</v>
      </c>
      <c r="J20" s="16">
        <v>6534988</v>
      </c>
      <c r="K20" s="16">
        <v>409585</v>
      </c>
      <c r="L20" s="16">
        <v>10407902</v>
      </c>
      <c r="M20" s="16">
        <v>6855152</v>
      </c>
      <c r="N20" s="16">
        <v>3552750</v>
      </c>
      <c r="O20" s="16">
        <v>3221070</v>
      </c>
      <c r="P20" s="16">
        <v>331680</v>
      </c>
      <c r="Q20" s="16">
        <v>9902895</v>
      </c>
      <c r="R20" s="16">
        <v>6839182</v>
      </c>
      <c r="S20" s="16">
        <v>3063713</v>
      </c>
      <c r="T20" s="16">
        <v>2814907</v>
      </c>
      <c r="U20" s="16">
        <v>248806</v>
      </c>
      <c r="V20" s="16">
        <v>1560261</v>
      </c>
      <c r="W20" s="16">
        <v>1073094</v>
      </c>
      <c r="X20" s="16">
        <v>487167</v>
      </c>
      <c r="Y20" s="16">
        <v>445899</v>
      </c>
      <c r="Z20" s="16">
        <v>41268</v>
      </c>
      <c r="AA20" s="16">
        <v>11596641</v>
      </c>
      <c r="AB20" s="16">
        <v>7634998</v>
      </c>
      <c r="AC20" s="16">
        <v>3961643</v>
      </c>
      <c r="AD20" s="16">
        <v>3630926</v>
      </c>
      <c r="AE20" s="16">
        <v>330717</v>
      </c>
      <c r="AF20" s="5"/>
      <c r="AG20" s="5"/>
      <c r="AH20" s="5"/>
      <c r="AI20" s="5"/>
      <c r="AJ20" s="5"/>
    </row>
    <row r="21" spans="1:36" ht="13.5" customHeight="1" x14ac:dyDescent="0.2">
      <c r="A21" s="26">
        <v>40664</v>
      </c>
      <c r="B21" s="16">
        <v>59059910</v>
      </c>
      <c r="C21" s="16">
        <v>38871352</v>
      </c>
      <c r="D21" s="16">
        <v>20188558</v>
      </c>
      <c r="E21" s="16">
        <v>18668405</v>
      </c>
      <c r="F21" s="16">
        <v>1520153</v>
      </c>
      <c r="G21" s="16">
        <v>23330023</v>
      </c>
      <c r="H21" s="16">
        <v>15520954</v>
      </c>
      <c r="I21" s="16">
        <v>7809069</v>
      </c>
      <c r="J21" s="16">
        <v>7352255</v>
      </c>
      <c r="K21" s="16">
        <v>456814</v>
      </c>
      <c r="L21" s="16">
        <v>11062592</v>
      </c>
      <c r="M21" s="16">
        <v>7075996</v>
      </c>
      <c r="N21" s="16">
        <v>3986596</v>
      </c>
      <c r="O21" s="16">
        <v>3611518</v>
      </c>
      <c r="P21" s="16">
        <v>375078</v>
      </c>
      <c r="Q21" s="16">
        <v>10509843</v>
      </c>
      <c r="R21" s="16">
        <v>7124029</v>
      </c>
      <c r="S21" s="16">
        <v>3385814</v>
      </c>
      <c r="T21" s="16">
        <v>3110407</v>
      </c>
      <c r="U21" s="16">
        <v>275407</v>
      </c>
      <c r="V21" s="16">
        <v>1657477</v>
      </c>
      <c r="W21" s="16">
        <v>1114018</v>
      </c>
      <c r="X21" s="16">
        <v>543459</v>
      </c>
      <c r="Y21" s="16">
        <v>495033</v>
      </c>
      <c r="Z21" s="16">
        <v>48426</v>
      </c>
      <c r="AA21" s="16">
        <v>12499975</v>
      </c>
      <c r="AB21" s="16">
        <v>8036355</v>
      </c>
      <c r="AC21" s="16">
        <v>4463620</v>
      </c>
      <c r="AD21" s="16">
        <v>4099192</v>
      </c>
      <c r="AE21" s="16">
        <v>364428</v>
      </c>
      <c r="AF21" s="5"/>
      <c r="AG21" s="5"/>
      <c r="AH21" s="5"/>
      <c r="AI21" s="5"/>
      <c r="AJ21" s="5"/>
    </row>
    <row r="22" spans="1:36" ht="13.5" customHeight="1" x14ac:dyDescent="0.2">
      <c r="A22" s="26">
        <v>40695</v>
      </c>
      <c r="B22" s="16">
        <v>55548472</v>
      </c>
      <c r="C22" s="16">
        <v>38719733</v>
      </c>
      <c r="D22" s="16">
        <v>16828739</v>
      </c>
      <c r="E22" s="16">
        <v>15712557</v>
      </c>
      <c r="F22" s="16">
        <v>1116182</v>
      </c>
      <c r="G22" s="16">
        <v>22060651</v>
      </c>
      <c r="H22" s="16">
        <v>15463970</v>
      </c>
      <c r="I22" s="16">
        <v>6596681</v>
      </c>
      <c r="J22" s="16">
        <v>6260188</v>
      </c>
      <c r="K22" s="16">
        <v>336493</v>
      </c>
      <c r="L22" s="16">
        <v>10316659</v>
      </c>
      <c r="M22" s="16">
        <v>7010534</v>
      </c>
      <c r="N22" s="16">
        <v>3306125</v>
      </c>
      <c r="O22" s="16">
        <v>3032288</v>
      </c>
      <c r="P22" s="16">
        <v>273837</v>
      </c>
      <c r="Q22" s="16">
        <v>9890607</v>
      </c>
      <c r="R22" s="16">
        <v>7089634</v>
      </c>
      <c r="S22" s="16">
        <v>2800973</v>
      </c>
      <c r="T22" s="16">
        <v>2590316</v>
      </c>
      <c r="U22" s="16">
        <v>210657</v>
      </c>
      <c r="V22" s="16">
        <v>1554203</v>
      </c>
      <c r="W22" s="16">
        <v>1113324</v>
      </c>
      <c r="X22" s="16">
        <v>440879</v>
      </c>
      <c r="Y22" s="16">
        <v>404175</v>
      </c>
      <c r="Z22" s="16">
        <v>36704</v>
      </c>
      <c r="AA22" s="16">
        <v>11726352</v>
      </c>
      <c r="AB22" s="16">
        <v>8042271</v>
      </c>
      <c r="AC22" s="16">
        <v>3684081</v>
      </c>
      <c r="AD22" s="16">
        <v>3425590</v>
      </c>
      <c r="AE22" s="16">
        <v>258491</v>
      </c>
      <c r="AF22" s="5"/>
      <c r="AG22" s="5"/>
      <c r="AH22" s="5"/>
      <c r="AI22" s="5"/>
      <c r="AJ22" s="5"/>
    </row>
    <row r="23" spans="1:36" ht="13.5" customHeight="1" x14ac:dyDescent="0.2">
      <c r="A23" s="26">
        <v>40725</v>
      </c>
      <c r="B23" s="16">
        <v>53362640</v>
      </c>
      <c r="C23" s="16">
        <v>38834641</v>
      </c>
      <c r="D23" s="16">
        <v>14527999</v>
      </c>
      <c r="E23" s="16">
        <v>13419460</v>
      </c>
      <c r="F23" s="16">
        <v>1108539</v>
      </c>
      <c r="G23" s="16">
        <v>21024475</v>
      </c>
      <c r="H23" s="16">
        <v>15556455</v>
      </c>
      <c r="I23" s="16">
        <v>5468020</v>
      </c>
      <c r="J23" s="16">
        <v>5142685</v>
      </c>
      <c r="K23" s="16">
        <v>325335</v>
      </c>
      <c r="L23" s="16">
        <v>9937202</v>
      </c>
      <c r="M23" s="16">
        <v>7064463</v>
      </c>
      <c r="N23" s="16">
        <v>2872739</v>
      </c>
      <c r="O23" s="16">
        <v>2610434</v>
      </c>
      <c r="P23" s="16">
        <v>262305</v>
      </c>
      <c r="Q23" s="16">
        <v>9614380</v>
      </c>
      <c r="R23" s="16">
        <v>7040299</v>
      </c>
      <c r="S23" s="16">
        <v>2574081</v>
      </c>
      <c r="T23" s="16">
        <v>2351950</v>
      </c>
      <c r="U23" s="16">
        <v>222131</v>
      </c>
      <c r="V23" s="16">
        <v>1514880</v>
      </c>
      <c r="W23" s="16">
        <v>1115054</v>
      </c>
      <c r="X23" s="16">
        <v>399826</v>
      </c>
      <c r="Y23" s="16">
        <v>361406</v>
      </c>
      <c r="Z23" s="16">
        <v>38420</v>
      </c>
      <c r="AA23" s="16">
        <v>11271703</v>
      </c>
      <c r="AB23" s="16">
        <v>8058370</v>
      </c>
      <c r="AC23" s="16">
        <v>3213333</v>
      </c>
      <c r="AD23" s="16">
        <v>2952985</v>
      </c>
      <c r="AE23" s="16">
        <v>260348</v>
      </c>
      <c r="AF23" s="5"/>
      <c r="AG23" s="5"/>
      <c r="AH23" s="5"/>
      <c r="AI23" s="5"/>
      <c r="AJ23" s="5"/>
    </row>
    <row r="24" spans="1:36" ht="13.5" customHeight="1" x14ac:dyDescent="0.2">
      <c r="A24" s="26">
        <v>40756</v>
      </c>
      <c r="B24" s="16">
        <v>55454510</v>
      </c>
      <c r="C24" s="16">
        <v>39117017</v>
      </c>
      <c r="D24" s="16">
        <v>16337493</v>
      </c>
      <c r="E24" s="16">
        <v>15138335</v>
      </c>
      <c r="F24" s="16">
        <v>1199158</v>
      </c>
      <c r="G24" s="16">
        <v>21810792</v>
      </c>
      <c r="H24" s="16">
        <v>15593181</v>
      </c>
      <c r="I24" s="16">
        <v>6217611</v>
      </c>
      <c r="J24" s="16">
        <v>5864333</v>
      </c>
      <c r="K24" s="16">
        <v>353278</v>
      </c>
      <c r="L24" s="16">
        <v>10242155</v>
      </c>
      <c r="M24" s="16">
        <v>7046579</v>
      </c>
      <c r="N24" s="16">
        <v>3195576</v>
      </c>
      <c r="O24" s="16">
        <v>2902686</v>
      </c>
      <c r="P24" s="16">
        <v>292890</v>
      </c>
      <c r="Q24" s="16">
        <v>9996783</v>
      </c>
      <c r="R24" s="16">
        <v>7143288</v>
      </c>
      <c r="S24" s="16">
        <v>2853495</v>
      </c>
      <c r="T24" s="16">
        <v>2608487</v>
      </c>
      <c r="U24" s="16">
        <v>245008</v>
      </c>
      <c r="V24" s="16">
        <v>1562169</v>
      </c>
      <c r="W24" s="16">
        <v>1127296</v>
      </c>
      <c r="X24" s="16">
        <v>434873</v>
      </c>
      <c r="Y24" s="16">
        <v>393239</v>
      </c>
      <c r="Z24" s="16">
        <v>41634</v>
      </c>
      <c r="AA24" s="16">
        <v>11842611</v>
      </c>
      <c r="AB24" s="16">
        <v>8206673</v>
      </c>
      <c r="AC24" s="16">
        <v>3635938</v>
      </c>
      <c r="AD24" s="16">
        <v>3369590</v>
      </c>
      <c r="AE24" s="16">
        <v>266348</v>
      </c>
      <c r="AF24" s="5"/>
      <c r="AG24" s="5"/>
      <c r="AH24" s="5"/>
      <c r="AI24" s="5"/>
      <c r="AJ24" s="5"/>
    </row>
    <row r="25" spans="1:36" ht="13.5" customHeight="1" x14ac:dyDescent="0.2">
      <c r="A25" s="26">
        <v>40787</v>
      </c>
      <c r="B25" s="16">
        <v>55233669</v>
      </c>
      <c r="C25" s="16">
        <v>38116042</v>
      </c>
      <c r="D25" s="16">
        <v>17117627</v>
      </c>
      <c r="E25" s="16">
        <v>15862136</v>
      </c>
      <c r="F25" s="16">
        <v>1255491</v>
      </c>
      <c r="G25" s="16">
        <v>21747160</v>
      </c>
      <c r="H25" s="16">
        <v>15134142</v>
      </c>
      <c r="I25" s="16">
        <v>6613018</v>
      </c>
      <c r="J25" s="16">
        <v>6246337</v>
      </c>
      <c r="K25" s="16">
        <v>366681</v>
      </c>
      <c r="L25" s="16">
        <v>10411897</v>
      </c>
      <c r="M25" s="16">
        <v>7042440</v>
      </c>
      <c r="N25" s="16">
        <v>3369457</v>
      </c>
      <c r="O25" s="16">
        <v>3062532</v>
      </c>
      <c r="P25" s="16">
        <v>306925</v>
      </c>
      <c r="Q25" s="16">
        <v>9898710</v>
      </c>
      <c r="R25" s="16">
        <v>6944045</v>
      </c>
      <c r="S25" s="16">
        <v>2954665</v>
      </c>
      <c r="T25" s="16">
        <v>2698222</v>
      </c>
      <c r="U25" s="16">
        <v>256443</v>
      </c>
      <c r="V25" s="16">
        <v>1569524</v>
      </c>
      <c r="W25" s="16">
        <v>1109141</v>
      </c>
      <c r="X25" s="16">
        <v>460383</v>
      </c>
      <c r="Y25" s="16">
        <v>416801</v>
      </c>
      <c r="Z25" s="16">
        <v>43582</v>
      </c>
      <c r="AA25" s="16">
        <v>11606378</v>
      </c>
      <c r="AB25" s="16">
        <v>7886274</v>
      </c>
      <c r="AC25" s="16">
        <v>3720104</v>
      </c>
      <c r="AD25" s="16">
        <v>3438244</v>
      </c>
      <c r="AE25" s="16">
        <v>281860</v>
      </c>
      <c r="AF25" s="5"/>
      <c r="AG25" s="5"/>
      <c r="AH25" s="5"/>
      <c r="AI25" s="5"/>
      <c r="AJ25" s="5"/>
    </row>
    <row r="26" spans="1:36" ht="13.5" customHeight="1" x14ac:dyDescent="0.2">
      <c r="A26" s="26">
        <v>40817</v>
      </c>
      <c r="B26" s="16">
        <v>54837184</v>
      </c>
      <c r="C26" s="16">
        <v>37680311</v>
      </c>
      <c r="D26" s="16">
        <v>17156873</v>
      </c>
      <c r="E26" s="16">
        <v>15853934</v>
      </c>
      <c r="F26" s="16">
        <v>1302939</v>
      </c>
      <c r="G26" s="16">
        <v>21414606</v>
      </c>
      <c r="H26" s="16">
        <v>14902963</v>
      </c>
      <c r="I26" s="16">
        <v>6511643</v>
      </c>
      <c r="J26" s="16">
        <v>6136359</v>
      </c>
      <c r="K26" s="16">
        <v>375284</v>
      </c>
      <c r="L26" s="16">
        <v>10322679</v>
      </c>
      <c r="M26" s="16">
        <v>6931228</v>
      </c>
      <c r="N26" s="16">
        <v>3391451</v>
      </c>
      <c r="O26" s="16">
        <v>3079772</v>
      </c>
      <c r="P26" s="16">
        <v>311679</v>
      </c>
      <c r="Q26" s="16">
        <v>9894197</v>
      </c>
      <c r="R26" s="16">
        <v>6889998</v>
      </c>
      <c r="S26" s="16">
        <v>3004199</v>
      </c>
      <c r="T26" s="16">
        <v>2740335</v>
      </c>
      <c r="U26" s="16">
        <v>263864</v>
      </c>
      <c r="V26" s="16">
        <v>1572558</v>
      </c>
      <c r="W26" s="16">
        <v>1099414</v>
      </c>
      <c r="X26" s="16">
        <v>473144</v>
      </c>
      <c r="Y26" s="16">
        <v>428213</v>
      </c>
      <c r="Z26" s="16">
        <v>44931</v>
      </c>
      <c r="AA26" s="16">
        <v>11633144</v>
      </c>
      <c r="AB26" s="16">
        <v>7856708</v>
      </c>
      <c r="AC26" s="16">
        <v>3776436</v>
      </c>
      <c r="AD26" s="16">
        <v>3469255</v>
      </c>
      <c r="AE26" s="16">
        <v>307181</v>
      </c>
      <c r="AF26" s="5"/>
      <c r="AG26" s="5"/>
      <c r="AH26" s="5"/>
      <c r="AI26" s="5"/>
      <c r="AJ26" s="5"/>
    </row>
    <row r="27" spans="1:36" ht="13.5" customHeight="1" x14ac:dyDescent="0.2">
      <c r="A27" s="26">
        <v>40848</v>
      </c>
      <c r="B27" s="16">
        <v>56719204</v>
      </c>
      <c r="C27" s="16">
        <v>38816059</v>
      </c>
      <c r="D27" s="16">
        <v>17903145</v>
      </c>
      <c r="E27" s="16">
        <v>16536446</v>
      </c>
      <c r="F27" s="16">
        <v>1366699</v>
      </c>
      <c r="G27" s="16">
        <v>22535070</v>
      </c>
      <c r="H27" s="16">
        <v>15624703</v>
      </c>
      <c r="I27" s="16">
        <v>6910367</v>
      </c>
      <c r="J27" s="16">
        <v>6506283</v>
      </c>
      <c r="K27" s="16">
        <v>404084</v>
      </c>
      <c r="L27" s="16">
        <v>10559108</v>
      </c>
      <c r="M27" s="16">
        <v>7022808</v>
      </c>
      <c r="N27" s="16">
        <v>3536300</v>
      </c>
      <c r="O27" s="16">
        <v>3207901</v>
      </c>
      <c r="P27" s="16">
        <v>328399</v>
      </c>
      <c r="Q27" s="16">
        <v>10163793</v>
      </c>
      <c r="R27" s="16">
        <v>7069700</v>
      </c>
      <c r="S27" s="16">
        <v>3094093</v>
      </c>
      <c r="T27" s="16">
        <v>2819301</v>
      </c>
      <c r="U27" s="16">
        <v>274792</v>
      </c>
      <c r="V27" s="16">
        <v>1605404</v>
      </c>
      <c r="W27" s="16">
        <v>1118371</v>
      </c>
      <c r="X27" s="16">
        <v>487033</v>
      </c>
      <c r="Y27" s="16">
        <v>441285</v>
      </c>
      <c r="Z27" s="16">
        <v>45748</v>
      </c>
      <c r="AA27" s="16">
        <v>11855829</v>
      </c>
      <c r="AB27" s="16">
        <v>7980477</v>
      </c>
      <c r="AC27" s="16">
        <v>3875352</v>
      </c>
      <c r="AD27" s="16">
        <v>3561676</v>
      </c>
      <c r="AE27" s="16">
        <v>313676</v>
      </c>
      <c r="AF27" s="5"/>
      <c r="AG27" s="5"/>
      <c r="AH27" s="5"/>
      <c r="AI27" s="5"/>
      <c r="AJ27" s="5"/>
    </row>
    <row r="28" spans="1:36" ht="13.5" customHeight="1" x14ac:dyDescent="0.2">
      <c r="A28" s="26">
        <v>40878</v>
      </c>
      <c r="B28" s="16">
        <v>55886693</v>
      </c>
      <c r="C28" s="16">
        <v>39730801</v>
      </c>
      <c r="D28" s="16">
        <v>16155892</v>
      </c>
      <c r="E28" s="16">
        <v>14815618</v>
      </c>
      <c r="F28" s="16">
        <v>1340274</v>
      </c>
      <c r="G28" s="16">
        <v>21789159</v>
      </c>
      <c r="H28" s="16">
        <v>15812446</v>
      </c>
      <c r="I28" s="16">
        <v>5976713</v>
      </c>
      <c r="J28" s="16">
        <v>5593238</v>
      </c>
      <c r="K28" s="16">
        <v>383475</v>
      </c>
      <c r="L28" s="16">
        <v>10536690</v>
      </c>
      <c r="M28" s="16">
        <v>7329455</v>
      </c>
      <c r="N28" s="16">
        <v>3207235</v>
      </c>
      <c r="O28" s="16">
        <v>2883286</v>
      </c>
      <c r="P28" s="16">
        <v>323949</v>
      </c>
      <c r="Q28" s="16">
        <v>10104516</v>
      </c>
      <c r="R28" s="16">
        <v>7198062</v>
      </c>
      <c r="S28" s="16">
        <v>2906454</v>
      </c>
      <c r="T28" s="16">
        <v>2629273</v>
      </c>
      <c r="U28" s="16">
        <v>277181</v>
      </c>
      <c r="V28" s="16">
        <v>1631398</v>
      </c>
      <c r="W28" s="16">
        <v>1166775</v>
      </c>
      <c r="X28" s="16">
        <v>464623</v>
      </c>
      <c r="Y28" s="16">
        <v>417592</v>
      </c>
      <c r="Z28" s="16">
        <v>47031</v>
      </c>
      <c r="AA28" s="16">
        <v>11824930</v>
      </c>
      <c r="AB28" s="16">
        <v>8224063</v>
      </c>
      <c r="AC28" s="16">
        <v>3600867</v>
      </c>
      <c r="AD28" s="16">
        <v>3292229</v>
      </c>
      <c r="AE28" s="16">
        <v>308638</v>
      </c>
      <c r="AF28" s="5"/>
      <c r="AG28" s="5"/>
      <c r="AH28" s="5"/>
      <c r="AI28" s="5"/>
      <c r="AJ28" s="5"/>
    </row>
    <row r="29" spans="1:36" ht="13.5" customHeight="1" x14ac:dyDescent="0.2">
      <c r="A29" s="26">
        <v>40909</v>
      </c>
      <c r="B29" s="16">
        <v>48582472</v>
      </c>
      <c r="C29" s="16">
        <v>36345716</v>
      </c>
      <c r="D29" s="16">
        <v>12236756</v>
      </c>
      <c r="E29" s="16">
        <v>11661187</v>
      </c>
      <c r="F29" s="16">
        <v>575569</v>
      </c>
      <c r="G29" s="16">
        <v>19255202</v>
      </c>
      <c r="H29" s="16">
        <v>14669011</v>
      </c>
      <c r="I29" s="16">
        <v>4586191</v>
      </c>
      <c r="J29" s="16">
        <v>4414240</v>
      </c>
      <c r="K29" s="16">
        <v>171951</v>
      </c>
      <c r="L29" s="16">
        <v>8887029</v>
      </c>
      <c r="M29" s="16">
        <v>6554853</v>
      </c>
      <c r="N29" s="16">
        <v>2332176</v>
      </c>
      <c r="O29" s="16">
        <v>2199317</v>
      </c>
      <c r="P29" s="16">
        <v>132859</v>
      </c>
      <c r="Q29" s="16">
        <v>8805613</v>
      </c>
      <c r="R29" s="16">
        <v>6582528</v>
      </c>
      <c r="S29" s="16">
        <v>2223085</v>
      </c>
      <c r="T29" s="16">
        <v>2105108</v>
      </c>
      <c r="U29" s="16">
        <v>117977</v>
      </c>
      <c r="V29" s="16">
        <v>1426943</v>
      </c>
      <c r="W29" s="16">
        <v>1070007</v>
      </c>
      <c r="X29" s="16">
        <v>356936</v>
      </c>
      <c r="Y29" s="16">
        <v>336645</v>
      </c>
      <c r="Z29" s="16">
        <v>20291</v>
      </c>
      <c r="AA29" s="16">
        <v>10207685</v>
      </c>
      <c r="AB29" s="16">
        <v>7469317</v>
      </c>
      <c r="AC29" s="16">
        <v>2738368</v>
      </c>
      <c r="AD29" s="16">
        <v>2605877</v>
      </c>
      <c r="AE29" s="16">
        <v>132491</v>
      </c>
      <c r="AF29" s="5"/>
      <c r="AG29" s="5"/>
      <c r="AH29" s="5"/>
      <c r="AI29" s="5"/>
      <c r="AJ29" s="5"/>
    </row>
    <row r="30" spans="1:36" ht="13.5" customHeight="1" x14ac:dyDescent="0.2">
      <c r="A30" s="26">
        <v>40940</v>
      </c>
      <c r="B30" s="16">
        <v>38537893</v>
      </c>
      <c r="C30" s="16">
        <v>31787183</v>
      </c>
      <c r="D30" s="16">
        <v>6750710</v>
      </c>
      <c r="E30" s="16">
        <v>6690126</v>
      </c>
      <c r="F30" s="16">
        <v>60584</v>
      </c>
      <c r="G30" s="16">
        <v>15090330</v>
      </c>
      <c r="H30" s="16">
        <v>12615097</v>
      </c>
      <c r="I30" s="16">
        <v>2475233</v>
      </c>
      <c r="J30" s="16">
        <v>2459263</v>
      </c>
      <c r="K30" s="16">
        <v>15970</v>
      </c>
      <c r="L30" s="16">
        <v>7141274</v>
      </c>
      <c r="M30" s="16">
        <v>5856198</v>
      </c>
      <c r="N30" s="16">
        <v>1285076</v>
      </c>
      <c r="O30" s="16">
        <v>1268455</v>
      </c>
      <c r="P30" s="16">
        <v>16621</v>
      </c>
      <c r="Q30" s="16">
        <v>7051770</v>
      </c>
      <c r="R30" s="16">
        <v>5778458</v>
      </c>
      <c r="S30" s="16">
        <v>1273312</v>
      </c>
      <c r="T30" s="16">
        <v>1262608</v>
      </c>
      <c r="U30" s="16">
        <v>10704</v>
      </c>
      <c r="V30" s="16">
        <v>1170969</v>
      </c>
      <c r="W30" s="16">
        <v>971566</v>
      </c>
      <c r="X30" s="16">
        <v>199403</v>
      </c>
      <c r="Y30" s="16">
        <v>197953</v>
      </c>
      <c r="Z30" s="16">
        <v>1450</v>
      </c>
      <c r="AA30" s="16">
        <v>8083550</v>
      </c>
      <c r="AB30" s="16">
        <v>6565864</v>
      </c>
      <c r="AC30" s="16">
        <v>1517686</v>
      </c>
      <c r="AD30" s="16">
        <v>1501847</v>
      </c>
      <c r="AE30" s="16">
        <v>15839</v>
      </c>
      <c r="AF30" s="5"/>
      <c r="AG30" s="5"/>
      <c r="AH30" s="5"/>
      <c r="AI30" s="5"/>
      <c r="AJ30" s="5"/>
    </row>
    <row r="31" spans="1:36" ht="13.5" customHeight="1" x14ac:dyDescent="0.2">
      <c r="A31" s="26">
        <v>40969</v>
      </c>
      <c r="B31" s="16">
        <v>56133115</v>
      </c>
      <c r="C31" s="16">
        <v>39730998</v>
      </c>
      <c r="D31" s="16">
        <v>16402117</v>
      </c>
      <c r="E31" s="16">
        <v>15251244</v>
      </c>
      <c r="F31" s="16">
        <v>1150873</v>
      </c>
      <c r="G31" s="16">
        <v>22256287</v>
      </c>
      <c r="H31" s="16">
        <v>15992494</v>
      </c>
      <c r="I31" s="16">
        <v>6263793</v>
      </c>
      <c r="J31" s="16">
        <v>5912740</v>
      </c>
      <c r="K31" s="16">
        <v>351053</v>
      </c>
      <c r="L31" s="16">
        <v>10208703</v>
      </c>
      <c r="M31" s="16">
        <v>7086720</v>
      </c>
      <c r="N31" s="16">
        <v>3121983</v>
      </c>
      <c r="O31" s="16">
        <v>2851309</v>
      </c>
      <c r="P31" s="16">
        <v>270674</v>
      </c>
      <c r="Q31" s="16">
        <v>10173589</v>
      </c>
      <c r="R31" s="16">
        <v>7294594</v>
      </c>
      <c r="S31" s="16">
        <v>2878995</v>
      </c>
      <c r="T31" s="16">
        <v>2657545</v>
      </c>
      <c r="U31" s="16">
        <v>221450</v>
      </c>
      <c r="V31" s="16">
        <v>1607309</v>
      </c>
      <c r="W31" s="16">
        <v>1157725</v>
      </c>
      <c r="X31" s="16">
        <v>449584</v>
      </c>
      <c r="Y31" s="16">
        <v>413484</v>
      </c>
      <c r="Z31" s="16">
        <v>36100</v>
      </c>
      <c r="AA31" s="16">
        <v>11887227</v>
      </c>
      <c r="AB31" s="16">
        <v>8199465</v>
      </c>
      <c r="AC31" s="16">
        <v>3687762</v>
      </c>
      <c r="AD31" s="16">
        <v>3416166</v>
      </c>
      <c r="AE31" s="16">
        <v>271596</v>
      </c>
      <c r="AF31" s="5"/>
      <c r="AG31" s="5"/>
      <c r="AH31" s="5"/>
      <c r="AI31" s="5"/>
      <c r="AJ31" s="5"/>
    </row>
    <row r="32" spans="1:36" ht="13.5" customHeight="1" x14ac:dyDescent="0.2">
      <c r="A32" s="26">
        <v>41000</v>
      </c>
      <c r="B32" s="16">
        <v>55006083</v>
      </c>
      <c r="C32" s="16">
        <v>36631221</v>
      </c>
      <c r="D32" s="16">
        <v>18374862</v>
      </c>
      <c r="E32" s="16">
        <v>16977124</v>
      </c>
      <c r="F32" s="16">
        <v>1397738</v>
      </c>
      <c r="G32" s="16">
        <v>22025103</v>
      </c>
      <c r="H32" s="16">
        <v>14804016</v>
      </c>
      <c r="I32" s="16">
        <v>7221087</v>
      </c>
      <c r="J32" s="16">
        <v>6796452</v>
      </c>
      <c r="K32" s="16">
        <v>424635</v>
      </c>
      <c r="L32" s="16">
        <v>10022296</v>
      </c>
      <c r="M32" s="16">
        <v>6526047</v>
      </c>
      <c r="N32" s="16">
        <v>3496249</v>
      </c>
      <c r="O32" s="16">
        <v>3164365</v>
      </c>
      <c r="P32" s="16">
        <v>331884</v>
      </c>
      <c r="Q32" s="16">
        <v>9817020</v>
      </c>
      <c r="R32" s="16">
        <v>6689309</v>
      </c>
      <c r="S32" s="16">
        <v>3127711</v>
      </c>
      <c r="T32" s="16">
        <v>2856280</v>
      </c>
      <c r="U32" s="16">
        <v>271431</v>
      </c>
      <c r="V32" s="16">
        <v>1557832</v>
      </c>
      <c r="W32" s="16">
        <v>1058957</v>
      </c>
      <c r="X32" s="16">
        <v>498875</v>
      </c>
      <c r="Y32" s="16">
        <v>453160</v>
      </c>
      <c r="Z32" s="16">
        <v>45715</v>
      </c>
      <c r="AA32" s="16">
        <v>11583832</v>
      </c>
      <c r="AB32" s="16">
        <v>7552892</v>
      </c>
      <c r="AC32" s="16">
        <v>4030940</v>
      </c>
      <c r="AD32" s="16">
        <v>3706867</v>
      </c>
      <c r="AE32" s="16">
        <v>324073</v>
      </c>
      <c r="AF32" s="5"/>
      <c r="AG32" s="5"/>
      <c r="AH32" s="5"/>
      <c r="AI32" s="5"/>
      <c r="AJ32" s="5"/>
    </row>
    <row r="33" spans="1:36" ht="13.5" customHeight="1" x14ac:dyDescent="0.2">
      <c r="A33" s="26">
        <v>41030</v>
      </c>
      <c r="B33" s="16">
        <v>58452186</v>
      </c>
      <c r="C33" s="16">
        <v>38120785</v>
      </c>
      <c r="D33" s="16">
        <v>20331401</v>
      </c>
      <c r="E33" s="16">
        <v>18790683</v>
      </c>
      <c r="F33" s="16">
        <v>1540718</v>
      </c>
      <c r="G33" s="16">
        <v>23406767</v>
      </c>
      <c r="H33" s="16">
        <v>15419045</v>
      </c>
      <c r="I33" s="16">
        <v>7987722</v>
      </c>
      <c r="J33" s="16">
        <v>7519046</v>
      </c>
      <c r="K33" s="16">
        <v>468676</v>
      </c>
      <c r="L33" s="16">
        <v>10623338</v>
      </c>
      <c r="M33" s="16">
        <v>6749014</v>
      </c>
      <c r="N33" s="16">
        <v>3874324</v>
      </c>
      <c r="O33" s="16">
        <v>3510360</v>
      </c>
      <c r="P33" s="16">
        <v>363964</v>
      </c>
      <c r="Q33" s="16">
        <v>10429111</v>
      </c>
      <c r="R33" s="16">
        <v>6981740</v>
      </c>
      <c r="S33" s="16">
        <v>3447371</v>
      </c>
      <c r="T33" s="16">
        <v>3146502</v>
      </c>
      <c r="U33" s="16">
        <v>300869</v>
      </c>
      <c r="V33" s="16">
        <v>1662806</v>
      </c>
      <c r="W33" s="16">
        <v>1110398</v>
      </c>
      <c r="X33" s="16">
        <v>552408</v>
      </c>
      <c r="Y33" s="16">
        <v>501482</v>
      </c>
      <c r="Z33" s="16">
        <v>50926</v>
      </c>
      <c r="AA33" s="16">
        <v>12330164</v>
      </c>
      <c r="AB33" s="16">
        <v>7860588</v>
      </c>
      <c r="AC33" s="16">
        <v>4469576</v>
      </c>
      <c r="AD33" s="16">
        <v>4113293</v>
      </c>
      <c r="AE33" s="16">
        <v>356283</v>
      </c>
      <c r="AF33" s="5"/>
      <c r="AG33" s="5"/>
      <c r="AH33" s="5"/>
      <c r="AI33" s="5"/>
      <c r="AJ33" s="5"/>
    </row>
    <row r="34" spans="1:36" ht="13.5" customHeight="1" x14ac:dyDescent="0.2">
      <c r="A34" s="26">
        <v>41061</v>
      </c>
      <c r="B34" s="16">
        <v>57281861</v>
      </c>
      <c r="C34" s="16">
        <v>39756612</v>
      </c>
      <c r="D34" s="16">
        <v>17525249</v>
      </c>
      <c r="E34" s="16">
        <v>16321657</v>
      </c>
      <c r="F34" s="16">
        <v>1203592</v>
      </c>
      <c r="G34" s="16">
        <v>22976846</v>
      </c>
      <c r="H34" s="16">
        <v>16072401</v>
      </c>
      <c r="I34" s="16">
        <v>6904445</v>
      </c>
      <c r="J34" s="16">
        <v>6535330</v>
      </c>
      <c r="K34" s="16">
        <v>369115</v>
      </c>
      <c r="L34" s="16">
        <v>10339531</v>
      </c>
      <c r="M34" s="16">
        <v>6988447</v>
      </c>
      <c r="N34" s="16">
        <v>3351084</v>
      </c>
      <c r="O34" s="16">
        <v>3070918</v>
      </c>
      <c r="P34" s="16">
        <v>280166</v>
      </c>
      <c r="Q34" s="16">
        <v>10275440</v>
      </c>
      <c r="R34" s="16">
        <v>7318888</v>
      </c>
      <c r="S34" s="16">
        <v>2956552</v>
      </c>
      <c r="T34" s="16">
        <v>2718804</v>
      </c>
      <c r="U34" s="16">
        <v>237748</v>
      </c>
      <c r="V34" s="16">
        <v>1645493</v>
      </c>
      <c r="W34" s="16">
        <v>1166864</v>
      </c>
      <c r="X34" s="16">
        <v>478629</v>
      </c>
      <c r="Y34" s="16">
        <v>439363</v>
      </c>
      <c r="Z34" s="16">
        <v>39266</v>
      </c>
      <c r="AA34" s="16">
        <v>12044551</v>
      </c>
      <c r="AB34" s="16">
        <v>8210012</v>
      </c>
      <c r="AC34" s="16">
        <v>3834539</v>
      </c>
      <c r="AD34" s="16">
        <v>3557242</v>
      </c>
      <c r="AE34" s="16">
        <v>277297</v>
      </c>
      <c r="AF34" s="5"/>
      <c r="AG34" s="5"/>
      <c r="AH34" s="5"/>
      <c r="AI34" s="5"/>
      <c r="AJ34" s="5"/>
    </row>
    <row r="35" spans="1:36" ht="13.5" customHeight="1" x14ac:dyDescent="0.2">
      <c r="A35" s="26">
        <v>41091</v>
      </c>
      <c r="B35" s="16">
        <v>53747850</v>
      </c>
      <c r="C35" s="16">
        <v>38838771</v>
      </c>
      <c r="D35" s="16">
        <v>14909079</v>
      </c>
      <c r="E35" s="16">
        <v>13730428</v>
      </c>
      <c r="F35" s="16">
        <v>1178651</v>
      </c>
      <c r="G35" s="16">
        <v>21400654</v>
      </c>
      <c r="H35" s="16">
        <v>15757378</v>
      </c>
      <c r="I35" s="16">
        <v>5643276</v>
      </c>
      <c r="J35" s="16">
        <v>5287439</v>
      </c>
      <c r="K35" s="16">
        <v>355837</v>
      </c>
      <c r="L35" s="16">
        <v>9759147</v>
      </c>
      <c r="M35" s="16">
        <v>6907563</v>
      </c>
      <c r="N35" s="16">
        <v>2851584</v>
      </c>
      <c r="O35" s="16">
        <v>2588175</v>
      </c>
      <c r="P35" s="16">
        <v>263409</v>
      </c>
      <c r="Q35" s="16">
        <v>9743254</v>
      </c>
      <c r="R35" s="16">
        <v>7065234</v>
      </c>
      <c r="S35" s="16">
        <v>2678020</v>
      </c>
      <c r="T35" s="16">
        <v>2432369</v>
      </c>
      <c r="U35" s="16">
        <v>245651</v>
      </c>
      <c r="V35" s="16">
        <v>1558958</v>
      </c>
      <c r="W35" s="16">
        <v>1132413</v>
      </c>
      <c r="X35" s="16">
        <v>426545</v>
      </c>
      <c r="Y35" s="16">
        <v>383948</v>
      </c>
      <c r="Z35" s="16">
        <v>42597</v>
      </c>
      <c r="AA35" s="16">
        <v>11285837</v>
      </c>
      <c r="AB35" s="16">
        <v>7976183</v>
      </c>
      <c r="AC35" s="16">
        <v>3309654</v>
      </c>
      <c r="AD35" s="16">
        <v>3038497</v>
      </c>
      <c r="AE35" s="16">
        <v>271157</v>
      </c>
      <c r="AF35" s="5"/>
      <c r="AG35" s="5"/>
      <c r="AH35" s="5"/>
      <c r="AI35" s="5"/>
      <c r="AJ35" s="5"/>
    </row>
    <row r="36" spans="1:36" ht="13.5" customHeight="1" x14ac:dyDescent="0.2">
      <c r="A36" s="26">
        <v>41122</v>
      </c>
      <c r="B36" s="16">
        <v>59418021</v>
      </c>
      <c r="C36" s="16">
        <v>41196923</v>
      </c>
      <c r="D36" s="16">
        <v>18221098</v>
      </c>
      <c r="E36" s="16">
        <v>16835244</v>
      </c>
      <c r="F36" s="16">
        <v>1385854</v>
      </c>
      <c r="G36" s="16">
        <v>23796463</v>
      </c>
      <c r="H36" s="16">
        <v>16725612</v>
      </c>
      <c r="I36" s="16">
        <v>7070851</v>
      </c>
      <c r="J36" s="16">
        <v>6655703</v>
      </c>
      <c r="K36" s="16">
        <v>415148</v>
      </c>
      <c r="L36" s="16">
        <v>10750458</v>
      </c>
      <c r="M36" s="16">
        <v>7274580</v>
      </c>
      <c r="N36" s="16">
        <v>3475878</v>
      </c>
      <c r="O36" s="16">
        <v>3160047</v>
      </c>
      <c r="P36" s="16">
        <v>315831</v>
      </c>
      <c r="Q36" s="16">
        <v>10712222</v>
      </c>
      <c r="R36" s="16">
        <v>7532450</v>
      </c>
      <c r="S36" s="16">
        <v>3179772</v>
      </c>
      <c r="T36" s="16">
        <v>2893455</v>
      </c>
      <c r="U36" s="16">
        <v>286317</v>
      </c>
      <c r="V36" s="16">
        <v>1704922</v>
      </c>
      <c r="W36" s="16">
        <v>1202517</v>
      </c>
      <c r="X36" s="16">
        <v>502405</v>
      </c>
      <c r="Y36" s="16">
        <v>452542</v>
      </c>
      <c r="Z36" s="16">
        <v>49863</v>
      </c>
      <c r="AA36" s="16">
        <v>12453956</v>
      </c>
      <c r="AB36" s="16">
        <v>8461764</v>
      </c>
      <c r="AC36" s="16">
        <v>3992192</v>
      </c>
      <c r="AD36" s="16">
        <v>3673497</v>
      </c>
      <c r="AE36" s="16">
        <v>318695</v>
      </c>
      <c r="AF36" s="5"/>
      <c r="AG36" s="5"/>
      <c r="AH36" s="5"/>
      <c r="AI36" s="5"/>
      <c r="AJ36" s="5"/>
    </row>
    <row r="37" spans="1:36" ht="13.5" customHeight="1" x14ac:dyDescent="0.2">
      <c r="A37" s="26">
        <v>41153</v>
      </c>
      <c r="B37" s="16">
        <v>50206950</v>
      </c>
      <c r="C37" s="16">
        <v>34569287</v>
      </c>
      <c r="D37" s="16">
        <v>15637663</v>
      </c>
      <c r="E37" s="16">
        <v>14420672</v>
      </c>
      <c r="F37" s="16">
        <v>1216991</v>
      </c>
      <c r="G37" s="16">
        <v>19456227</v>
      </c>
      <c r="H37" s="16">
        <v>13582395</v>
      </c>
      <c r="I37" s="16">
        <v>5873832</v>
      </c>
      <c r="J37" s="16">
        <v>5522343</v>
      </c>
      <c r="K37" s="16">
        <v>351489</v>
      </c>
      <c r="L37" s="16">
        <v>9493603</v>
      </c>
      <c r="M37" s="16">
        <v>6429065</v>
      </c>
      <c r="N37" s="16">
        <v>3064538</v>
      </c>
      <c r="O37" s="16">
        <v>2779544</v>
      </c>
      <c r="P37" s="16">
        <v>284994</v>
      </c>
      <c r="Q37" s="16">
        <v>9129363</v>
      </c>
      <c r="R37" s="16">
        <v>6356582</v>
      </c>
      <c r="S37" s="16">
        <v>2772781</v>
      </c>
      <c r="T37" s="16">
        <v>2517770</v>
      </c>
      <c r="U37" s="16">
        <v>255011</v>
      </c>
      <c r="V37" s="16">
        <v>1509274</v>
      </c>
      <c r="W37" s="16">
        <v>1055116</v>
      </c>
      <c r="X37" s="16">
        <v>454158</v>
      </c>
      <c r="Y37" s="16">
        <v>408409</v>
      </c>
      <c r="Z37" s="16">
        <v>45749</v>
      </c>
      <c r="AA37" s="16">
        <v>10618483</v>
      </c>
      <c r="AB37" s="16">
        <v>7146129</v>
      </c>
      <c r="AC37" s="16">
        <v>3472354</v>
      </c>
      <c r="AD37" s="16">
        <v>3192606</v>
      </c>
      <c r="AE37" s="16">
        <v>279748</v>
      </c>
      <c r="AF37" s="5"/>
      <c r="AG37" s="5"/>
      <c r="AH37" s="5"/>
      <c r="AI37" s="5"/>
      <c r="AJ37" s="5"/>
    </row>
    <row r="38" spans="1:36" ht="13.5" customHeight="1" x14ac:dyDescent="0.2">
      <c r="A38" s="26">
        <v>41183</v>
      </c>
      <c r="B38" s="16">
        <v>60361363</v>
      </c>
      <c r="C38" s="16">
        <v>40804368</v>
      </c>
      <c r="D38" s="16">
        <v>19556995</v>
      </c>
      <c r="E38" s="16">
        <v>18073643</v>
      </c>
      <c r="F38" s="16">
        <v>1483352</v>
      </c>
      <c r="G38" s="16">
        <v>24138769</v>
      </c>
      <c r="H38" s="16">
        <v>16506725</v>
      </c>
      <c r="I38" s="16">
        <v>7632044</v>
      </c>
      <c r="J38" s="16">
        <v>7183848</v>
      </c>
      <c r="K38" s="16">
        <v>448196</v>
      </c>
      <c r="L38" s="16">
        <v>10907327</v>
      </c>
      <c r="M38" s="16">
        <v>7197831</v>
      </c>
      <c r="N38" s="16">
        <v>3709496</v>
      </c>
      <c r="O38" s="16">
        <v>3374856</v>
      </c>
      <c r="P38" s="16">
        <v>334640</v>
      </c>
      <c r="Q38" s="16">
        <v>10850733</v>
      </c>
      <c r="R38" s="16">
        <v>7491294</v>
      </c>
      <c r="S38" s="16">
        <v>3359439</v>
      </c>
      <c r="T38" s="16">
        <v>3057161</v>
      </c>
      <c r="U38" s="16">
        <v>302278</v>
      </c>
      <c r="V38" s="16">
        <v>1757929</v>
      </c>
      <c r="W38" s="16">
        <v>1212746</v>
      </c>
      <c r="X38" s="16">
        <v>545183</v>
      </c>
      <c r="Y38" s="16">
        <v>492149</v>
      </c>
      <c r="Z38" s="16">
        <v>53034</v>
      </c>
      <c r="AA38" s="16">
        <v>12706605</v>
      </c>
      <c r="AB38" s="16">
        <v>8395772</v>
      </c>
      <c r="AC38" s="16">
        <v>4310833</v>
      </c>
      <c r="AD38" s="16">
        <v>3965629</v>
      </c>
      <c r="AE38" s="16">
        <v>345204</v>
      </c>
      <c r="AF38" s="5"/>
      <c r="AG38" s="5"/>
      <c r="AH38" s="5"/>
      <c r="AI38" s="5"/>
      <c r="AJ38" s="5"/>
    </row>
    <row r="39" spans="1:36" ht="13.5" customHeight="1" x14ac:dyDescent="0.2">
      <c r="A39" s="26">
        <v>41214</v>
      </c>
      <c r="B39" s="16">
        <v>56398424</v>
      </c>
      <c r="C39" s="16">
        <v>38266825</v>
      </c>
      <c r="D39" s="16">
        <v>18131599</v>
      </c>
      <c r="E39" s="16">
        <v>16687607</v>
      </c>
      <c r="F39" s="16">
        <v>1443992</v>
      </c>
      <c r="G39" s="16">
        <v>22348756</v>
      </c>
      <c r="H39" s="16">
        <v>15374961</v>
      </c>
      <c r="I39" s="16">
        <v>6973795</v>
      </c>
      <c r="J39" s="16">
        <v>6535689</v>
      </c>
      <c r="K39" s="16">
        <v>438106</v>
      </c>
      <c r="L39" s="16">
        <v>10381867</v>
      </c>
      <c r="M39" s="16">
        <v>6892165</v>
      </c>
      <c r="N39" s="16">
        <v>3489702</v>
      </c>
      <c r="O39" s="16">
        <v>3162866</v>
      </c>
      <c r="P39" s="16">
        <v>326836</v>
      </c>
      <c r="Q39" s="16">
        <v>10186237</v>
      </c>
      <c r="R39" s="16">
        <v>7020530</v>
      </c>
      <c r="S39" s="16">
        <v>3165707</v>
      </c>
      <c r="T39" s="16">
        <v>2871081</v>
      </c>
      <c r="U39" s="16">
        <v>294626</v>
      </c>
      <c r="V39" s="16">
        <v>1672682</v>
      </c>
      <c r="W39" s="16">
        <v>1148625</v>
      </c>
      <c r="X39" s="16">
        <v>524057</v>
      </c>
      <c r="Y39" s="16">
        <v>470916</v>
      </c>
      <c r="Z39" s="16">
        <v>53141</v>
      </c>
      <c r="AA39" s="16">
        <v>11808882</v>
      </c>
      <c r="AB39" s="16">
        <v>7830544</v>
      </c>
      <c r="AC39" s="16">
        <v>3978338</v>
      </c>
      <c r="AD39" s="16">
        <v>3647055</v>
      </c>
      <c r="AE39" s="16">
        <v>331283</v>
      </c>
      <c r="AF39" s="5"/>
      <c r="AG39" s="5"/>
      <c r="AH39" s="5"/>
      <c r="AI39" s="5"/>
      <c r="AJ39" s="5"/>
    </row>
    <row r="40" spans="1:36" ht="13.5" customHeight="1" x14ac:dyDescent="0.2">
      <c r="A40" s="26">
        <v>41244</v>
      </c>
      <c r="B40" s="16">
        <v>54609550</v>
      </c>
      <c r="C40" s="16">
        <v>38643807</v>
      </c>
      <c r="D40" s="16">
        <v>15965743</v>
      </c>
      <c r="E40" s="16">
        <v>14586330</v>
      </c>
      <c r="F40" s="16">
        <v>1379413</v>
      </c>
      <c r="G40" s="16">
        <v>21358914</v>
      </c>
      <c r="H40" s="16">
        <v>15408442</v>
      </c>
      <c r="I40" s="16">
        <v>5950472</v>
      </c>
      <c r="J40" s="16">
        <v>5537286</v>
      </c>
      <c r="K40" s="16">
        <v>413186</v>
      </c>
      <c r="L40" s="16">
        <v>10135571</v>
      </c>
      <c r="M40" s="16">
        <v>7092343</v>
      </c>
      <c r="N40" s="16">
        <v>3043228</v>
      </c>
      <c r="O40" s="16">
        <v>2735990</v>
      </c>
      <c r="P40" s="16">
        <v>307238</v>
      </c>
      <c r="Q40" s="16">
        <v>10027127</v>
      </c>
      <c r="R40" s="16">
        <v>7077935</v>
      </c>
      <c r="S40" s="16">
        <v>2949192</v>
      </c>
      <c r="T40" s="16">
        <v>2660043</v>
      </c>
      <c r="U40" s="16">
        <v>289149</v>
      </c>
      <c r="V40" s="16">
        <v>1657009</v>
      </c>
      <c r="W40" s="16">
        <v>1177293</v>
      </c>
      <c r="X40" s="16">
        <v>479716</v>
      </c>
      <c r="Y40" s="16">
        <v>426968</v>
      </c>
      <c r="Z40" s="16">
        <v>52748</v>
      </c>
      <c r="AA40" s="16">
        <v>11430929</v>
      </c>
      <c r="AB40" s="16">
        <v>7887794</v>
      </c>
      <c r="AC40" s="16">
        <v>3543135</v>
      </c>
      <c r="AD40" s="16">
        <v>3226043</v>
      </c>
      <c r="AE40" s="16">
        <v>317092</v>
      </c>
      <c r="AF40" s="5"/>
      <c r="AG40" s="5"/>
      <c r="AH40" s="5"/>
      <c r="AI40" s="5"/>
      <c r="AJ40" s="5"/>
    </row>
    <row r="41" spans="1:36" ht="13.5" customHeight="1" x14ac:dyDescent="0.2">
      <c r="A41" s="26">
        <v>41275</v>
      </c>
      <c r="B41" s="16">
        <v>49428299</v>
      </c>
      <c r="C41" s="16">
        <v>37332124</v>
      </c>
      <c r="D41" s="16">
        <v>12096175</v>
      </c>
      <c r="E41" s="16">
        <v>11515981</v>
      </c>
      <c r="F41" s="16">
        <v>580194</v>
      </c>
      <c r="G41" s="16">
        <v>19807434</v>
      </c>
      <c r="H41" s="16">
        <v>15264810</v>
      </c>
      <c r="I41" s="16">
        <v>4542624</v>
      </c>
      <c r="J41" s="16">
        <v>4368994</v>
      </c>
      <c r="K41" s="16">
        <v>173630</v>
      </c>
      <c r="L41" s="16">
        <v>8896462</v>
      </c>
      <c r="M41" s="16">
        <v>6654914</v>
      </c>
      <c r="N41" s="16">
        <v>2241548</v>
      </c>
      <c r="O41" s="16">
        <v>2117074</v>
      </c>
      <c r="P41" s="16">
        <v>124474</v>
      </c>
      <c r="Q41" s="16">
        <v>9060993</v>
      </c>
      <c r="R41" s="16">
        <v>6773134</v>
      </c>
      <c r="S41" s="16">
        <v>2287859</v>
      </c>
      <c r="T41" s="16">
        <v>2162775</v>
      </c>
      <c r="U41" s="16">
        <v>125084</v>
      </c>
      <c r="V41" s="16">
        <v>1465412</v>
      </c>
      <c r="W41" s="16">
        <v>1107694</v>
      </c>
      <c r="X41" s="16">
        <v>357718</v>
      </c>
      <c r="Y41" s="16">
        <v>335353</v>
      </c>
      <c r="Z41" s="16">
        <v>22365</v>
      </c>
      <c r="AA41" s="16">
        <v>10197998</v>
      </c>
      <c r="AB41" s="16">
        <v>7531572</v>
      </c>
      <c r="AC41" s="16">
        <v>2666426</v>
      </c>
      <c r="AD41" s="16">
        <v>2531785</v>
      </c>
      <c r="AE41" s="16">
        <v>134641</v>
      </c>
      <c r="AF41" s="5"/>
      <c r="AG41" s="5"/>
      <c r="AH41" s="5"/>
      <c r="AI41" s="5"/>
      <c r="AJ41" s="5"/>
    </row>
    <row r="42" spans="1:36" ht="13.5" customHeight="1" x14ac:dyDescent="0.2">
      <c r="A42" s="26">
        <v>41306</v>
      </c>
      <c r="B42" s="16">
        <v>37857274</v>
      </c>
      <c r="C42" s="16">
        <v>31315933</v>
      </c>
      <c r="D42" s="16">
        <v>6541341</v>
      </c>
      <c r="E42" s="16">
        <v>6475330</v>
      </c>
      <c r="F42" s="16">
        <v>66011</v>
      </c>
      <c r="G42" s="16">
        <v>14918905</v>
      </c>
      <c r="H42" s="16">
        <v>12524409</v>
      </c>
      <c r="I42" s="16">
        <v>2394496</v>
      </c>
      <c r="J42" s="16">
        <v>2376272</v>
      </c>
      <c r="K42" s="16">
        <v>18224</v>
      </c>
      <c r="L42" s="16">
        <v>7014693</v>
      </c>
      <c r="M42" s="16">
        <v>5778652</v>
      </c>
      <c r="N42" s="16">
        <v>1236041</v>
      </c>
      <c r="O42" s="16">
        <v>1218720</v>
      </c>
      <c r="P42" s="16">
        <v>17321</v>
      </c>
      <c r="Q42" s="16">
        <v>6950370</v>
      </c>
      <c r="R42" s="16">
        <v>5674933</v>
      </c>
      <c r="S42" s="16">
        <v>1275437</v>
      </c>
      <c r="T42" s="16">
        <v>1263764</v>
      </c>
      <c r="U42" s="16">
        <v>11673</v>
      </c>
      <c r="V42" s="16">
        <v>1144553</v>
      </c>
      <c r="W42" s="16">
        <v>946770</v>
      </c>
      <c r="X42" s="16">
        <v>197783</v>
      </c>
      <c r="Y42" s="16">
        <v>195853</v>
      </c>
      <c r="Z42" s="16">
        <v>1930</v>
      </c>
      <c r="AA42" s="16">
        <v>7828753</v>
      </c>
      <c r="AB42" s="16">
        <v>6391169</v>
      </c>
      <c r="AC42" s="16">
        <v>1437584</v>
      </c>
      <c r="AD42" s="16">
        <v>1420721</v>
      </c>
      <c r="AE42" s="16">
        <v>16863</v>
      </c>
      <c r="AF42" s="5"/>
      <c r="AG42" s="5"/>
      <c r="AH42" s="5"/>
      <c r="AI42" s="5"/>
      <c r="AJ42" s="5"/>
    </row>
    <row r="43" spans="1:36" ht="13.5" customHeight="1" x14ac:dyDescent="0.2">
      <c r="A43" s="26">
        <v>41334</v>
      </c>
      <c r="B43" s="16">
        <v>53879768</v>
      </c>
      <c r="C43" s="16">
        <v>37961052</v>
      </c>
      <c r="D43" s="16">
        <v>15918716</v>
      </c>
      <c r="E43" s="16">
        <v>14808786</v>
      </c>
      <c r="F43" s="16">
        <v>1109930</v>
      </c>
      <c r="G43" s="16">
        <v>21367193</v>
      </c>
      <c r="H43" s="16">
        <v>15300634</v>
      </c>
      <c r="I43" s="16">
        <v>6066559</v>
      </c>
      <c r="J43" s="16">
        <v>5731930</v>
      </c>
      <c r="K43" s="16">
        <v>334629</v>
      </c>
      <c r="L43" s="16">
        <v>9775985</v>
      </c>
      <c r="M43" s="16">
        <v>6808518</v>
      </c>
      <c r="N43" s="16">
        <v>2967467</v>
      </c>
      <c r="O43" s="16">
        <v>2714180</v>
      </c>
      <c r="P43" s="16">
        <v>253287</v>
      </c>
      <c r="Q43" s="16">
        <v>9816641</v>
      </c>
      <c r="R43" s="16">
        <v>6960221</v>
      </c>
      <c r="S43" s="16">
        <v>2856420</v>
      </c>
      <c r="T43" s="16">
        <v>2639064</v>
      </c>
      <c r="U43" s="16">
        <v>217356</v>
      </c>
      <c r="V43" s="16">
        <v>1596757</v>
      </c>
      <c r="W43" s="16">
        <v>1135695</v>
      </c>
      <c r="X43" s="16">
        <v>461062</v>
      </c>
      <c r="Y43" s="16">
        <v>423133</v>
      </c>
      <c r="Z43" s="16">
        <v>37929</v>
      </c>
      <c r="AA43" s="16">
        <v>11323192</v>
      </c>
      <c r="AB43" s="16">
        <v>7755984</v>
      </c>
      <c r="AC43" s="16">
        <v>3567208</v>
      </c>
      <c r="AD43" s="16">
        <v>3300479</v>
      </c>
      <c r="AE43" s="16">
        <v>266729</v>
      </c>
      <c r="AF43" s="5"/>
      <c r="AG43" s="5"/>
      <c r="AH43" s="5"/>
      <c r="AI43" s="5"/>
      <c r="AJ43" s="5"/>
    </row>
    <row r="44" spans="1:36" ht="13.5" customHeight="1" x14ac:dyDescent="0.2">
      <c r="A44" s="26">
        <v>41365</v>
      </c>
      <c r="B44" s="16">
        <v>61155239</v>
      </c>
      <c r="C44" s="16">
        <v>39910377</v>
      </c>
      <c r="D44" s="16">
        <v>21244862</v>
      </c>
      <c r="E44" s="16">
        <v>19794581</v>
      </c>
      <c r="F44" s="16">
        <v>1450281</v>
      </c>
      <c r="G44" s="16">
        <v>24685225</v>
      </c>
      <c r="H44" s="16">
        <v>16271876</v>
      </c>
      <c r="I44" s="16">
        <v>8413349</v>
      </c>
      <c r="J44" s="16">
        <v>7966052</v>
      </c>
      <c r="K44" s="16">
        <v>447297</v>
      </c>
      <c r="L44" s="16">
        <v>11018212</v>
      </c>
      <c r="M44" s="16">
        <v>7077470</v>
      </c>
      <c r="N44" s="16">
        <v>3940742</v>
      </c>
      <c r="O44" s="16">
        <v>3613105</v>
      </c>
      <c r="P44" s="16">
        <v>327637</v>
      </c>
      <c r="Q44" s="16">
        <v>10874751</v>
      </c>
      <c r="R44" s="16">
        <v>7259203</v>
      </c>
      <c r="S44" s="16">
        <v>3615548</v>
      </c>
      <c r="T44" s="16">
        <v>3333437</v>
      </c>
      <c r="U44" s="16">
        <v>282111</v>
      </c>
      <c r="V44" s="16">
        <v>1777644</v>
      </c>
      <c r="W44" s="16">
        <v>1178062</v>
      </c>
      <c r="X44" s="16">
        <v>599582</v>
      </c>
      <c r="Y44" s="16">
        <v>550208</v>
      </c>
      <c r="Z44" s="16">
        <v>49374</v>
      </c>
      <c r="AA44" s="16">
        <v>12799407</v>
      </c>
      <c r="AB44" s="16">
        <v>8123766</v>
      </c>
      <c r="AC44" s="16">
        <v>4675641</v>
      </c>
      <c r="AD44" s="16">
        <v>4331779</v>
      </c>
      <c r="AE44" s="16">
        <v>343862</v>
      </c>
      <c r="AF44" s="5"/>
      <c r="AG44" s="5"/>
      <c r="AH44" s="5"/>
      <c r="AI44" s="5"/>
      <c r="AJ44" s="5"/>
    </row>
    <row r="45" spans="1:36" ht="13.5" customHeight="1" x14ac:dyDescent="0.2">
      <c r="A45" s="26">
        <v>41395</v>
      </c>
      <c r="B45" s="16">
        <v>58684770</v>
      </c>
      <c r="C45" s="16">
        <v>38039167</v>
      </c>
      <c r="D45" s="16">
        <v>20645603</v>
      </c>
      <c r="E45" s="16">
        <v>19092085</v>
      </c>
      <c r="F45" s="16">
        <v>1553518</v>
      </c>
      <c r="G45" s="16">
        <v>23447750</v>
      </c>
      <c r="H45" s="16">
        <v>15392769</v>
      </c>
      <c r="I45" s="16">
        <v>8054981</v>
      </c>
      <c r="J45" s="16">
        <v>7580794</v>
      </c>
      <c r="K45" s="16">
        <v>474187</v>
      </c>
      <c r="L45" s="16">
        <v>10641925</v>
      </c>
      <c r="M45" s="16">
        <v>6802433</v>
      </c>
      <c r="N45" s="16">
        <v>3839492</v>
      </c>
      <c r="O45" s="16">
        <v>3495020</v>
      </c>
      <c r="P45" s="16">
        <v>344472</v>
      </c>
      <c r="Q45" s="16">
        <v>10481417</v>
      </c>
      <c r="R45" s="16">
        <v>6919353</v>
      </c>
      <c r="S45" s="16">
        <v>3562064</v>
      </c>
      <c r="T45" s="16">
        <v>3248864</v>
      </c>
      <c r="U45" s="16">
        <v>313200</v>
      </c>
      <c r="V45" s="16">
        <v>1720480</v>
      </c>
      <c r="W45" s="16">
        <v>1127725</v>
      </c>
      <c r="X45" s="16">
        <v>592755</v>
      </c>
      <c r="Y45" s="16">
        <v>538198</v>
      </c>
      <c r="Z45" s="16">
        <v>54557</v>
      </c>
      <c r="AA45" s="16">
        <v>12393198</v>
      </c>
      <c r="AB45" s="16">
        <v>7796887</v>
      </c>
      <c r="AC45" s="16">
        <v>4596311</v>
      </c>
      <c r="AD45" s="16">
        <v>4229209</v>
      </c>
      <c r="AE45" s="16">
        <v>367102</v>
      </c>
      <c r="AF45" s="5"/>
      <c r="AG45" s="5"/>
      <c r="AH45" s="5"/>
      <c r="AI45" s="5"/>
      <c r="AJ45" s="5"/>
    </row>
    <row r="46" spans="1:36" ht="13.5" customHeight="1" x14ac:dyDescent="0.2">
      <c r="A46" s="26">
        <v>41426</v>
      </c>
      <c r="B46" s="16">
        <v>56713770</v>
      </c>
      <c r="C46" s="16">
        <v>39767440</v>
      </c>
      <c r="D46" s="16">
        <v>16946330</v>
      </c>
      <c r="E46" s="16">
        <v>15750079</v>
      </c>
      <c r="F46" s="16">
        <v>1196251</v>
      </c>
      <c r="G46" s="16">
        <v>22425268</v>
      </c>
      <c r="H46" s="16">
        <v>15886445</v>
      </c>
      <c r="I46" s="16">
        <v>6538823</v>
      </c>
      <c r="J46" s="16">
        <v>6181264</v>
      </c>
      <c r="K46" s="16">
        <v>357559</v>
      </c>
      <c r="L46" s="16">
        <v>10349242</v>
      </c>
      <c r="M46" s="17">
        <v>7156497</v>
      </c>
      <c r="N46" s="16">
        <v>3192745</v>
      </c>
      <c r="O46" s="17">
        <v>2923880</v>
      </c>
      <c r="P46" s="17">
        <v>268865</v>
      </c>
      <c r="Q46" s="16">
        <v>10209589</v>
      </c>
      <c r="R46" s="16">
        <v>7270586</v>
      </c>
      <c r="S46" s="16">
        <v>2939003</v>
      </c>
      <c r="T46" s="16">
        <v>2690009</v>
      </c>
      <c r="U46" s="16">
        <v>248994</v>
      </c>
      <c r="V46" s="16">
        <v>1674228</v>
      </c>
      <c r="W46" s="16">
        <v>1187701</v>
      </c>
      <c r="X46" s="16">
        <v>486527</v>
      </c>
      <c r="Y46" s="16">
        <v>442727</v>
      </c>
      <c r="Z46" s="16">
        <v>43800</v>
      </c>
      <c r="AA46" s="16">
        <v>12055443</v>
      </c>
      <c r="AB46" s="17">
        <v>8266211</v>
      </c>
      <c r="AC46" s="16">
        <v>3789232</v>
      </c>
      <c r="AD46" s="17">
        <v>3512199</v>
      </c>
      <c r="AE46" s="17">
        <v>277033</v>
      </c>
      <c r="AF46" s="5"/>
      <c r="AG46" s="5"/>
      <c r="AH46" s="5"/>
      <c r="AI46" s="5"/>
      <c r="AJ46" s="5"/>
    </row>
    <row r="47" spans="1:36" ht="13.5" customHeight="1" x14ac:dyDescent="0.2">
      <c r="A47" s="26">
        <v>41456</v>
      </c>
      <c r="B47" s="16">
        <v>57579327</v>
      </c>
      <c r="C47" s="16">
        <v>41537978</v>
      </c>
      <c r="D47" s="16">
        <v>16041349</v>
      </c>
      <c r="E47" s="16">
        <v>14727308</v>
      </c>
      <c r="F47" s="16">
        <v>1314041</v>
      </c>
      <c r="G47" s="16">
        <v>22783135</v>
      </c>
      <c r="H47" s="16">
        <v>16780501</v>
      </c>
      <c r="I47" s="16">
        <v>6002634</v>
      </c>
      <c r="J47" s="16">
        <v>5605511</v>
      </c>
      <c r="K47" s="16">
        <v>397123</v>
      </c>
      <c r="L47" s="16">
        <v>10473066</v>
      </c>
      <c r="M47" s="16">
        <v>7445660</v>
      </c>
      <c r="N47" s="16">
        <v>3027406</v>
      </c>
      <c r="O47" s="16">
        <v>2744949</v>
      </c>
      <c r="P47" s="16">
        <v>282457</v>
      </c>
      <c r="Q47" s="16">
        <v>10381622</v>
      </c>
      <c r="R47" s="16">
        <v>7459677</v>
      </c>
      <c r="S47" s="16">
        <v>2921945</v>
      </c>
      <c r="T47" s="16">
        <v>2640672</v>
      </c>
      <c r="U47" s="16">
        <v>281273</v>
      </c>
      <c r="V47" s="16">
        <v>1687580</v>
      </c>
      <c r="W47" s="16">
        <v>1209555</v>
      </c>
      <c r="X47" s="16">
        <v>478025</v>
      </c>
      <c r="Y47" s="16">
        <v>428642</v>
      </c>
      <c r="Z47" s="16">
        <v>49383</v>
      </c>
      <c r="AA47" s="16">
        <v>12253924</v>
      </c>
      <c r="AB47" s="16">
        <v>8642585</v>
      </c>
      <c r="AC47" s="16">
        <v>3611339</v>
      </c>
      <c r="AD47" s="16">
        <v>3307534</v>
      </c>
      <c r="AE47" s="16">
        <v>303805</v>
      </c>
      <c r="AF47" s="5"/>
      <c r="AG47" s="5"/>
      <c r="AH47" s="5"/>
      <c r="AI47" s="5"/>
      <c r="AJ47" s="5"/>
    </row>
    <row r="48" spans="1:36" ht="13.5" customHeight="1" x14ac:dyDescent="0.2">
      <c r="A48" s="26">
        <v>41487</v>
      </c>
      <c r="B48" s="16">
        <v>60470199</v>
      </c>
      <c r="C48" s="16">
        <v>41583227</v>
      </c>
      <c r="D48" s="16">
        <v>18886972</v>
      </c>
      <c r="E48" s="16">
        <v>17367925</v>
      </c>
      <c r="F48" s="16">
        <v>1519047</v>
      </c>
      <c r="G48" s="16">
        <v>23906588</v>
      </c>
      <c r="H48" s="16">
        <v>16672131</v>
      </c>
      <c r="I48" s="16">
        <v>7234457</v>
      </c>
      <c r="J48" s="16">
        <v>6773164</v>
      </c>
      <c r="K48" s="16">
        <v>461293</v>
      </c>
      <c r="L48" s="16">
        <v>11022430</v>
      </c>
      <c r="M48" s="16">
        <v>7488789</v>
      </c>
      <c r="N48" s="16">
        <v>3533641</v>
      </c>
      <c r="O48" s="16">
        <v>3205027</v>
      </c>
      <c r="P48" s="16">
        <v>328614</v>
      </c>
      <c r="Q48" s="16">
        <v>10832449</v>
      </c>
      <c r="R48" s="16">
        <v>7514354</v>
      </c>
      <c r="S48" s="16">
        <v>3318095</v>
      </c>
      <c r="T48" s="16">
        <v>3003080</v>
      </c>
      <c r="U48" s="16">
        <v>315015</v>
      </c>
      <c r="V48" s="16">
        <v>1759769</v>
      </c>
      <c r="W48" s="16">
        <v>1216306</v>
      </c>
      <c r="X48" s="16">
        <v>543463</v>
      </c>
      <c r="Y48" s="16">
        <v>486866</v>
      </c>
      <c r="Z48" s="16">
        <v>56597</v>
      </c>
      <c r="AA48" s="16">
        <v>12948963</v>
      </c>
      <c r="AB48" s="16">
        <v>8691647</v>
      </c>
      <c r="AC48" s="16">
        <v>4257316</v>
      </c>
      <c r="AD48" s="16">
        <v>3899788</v>
      </c>
      <c r="AE48" s="16">
        <v>357528</v>
      </c>
      <c r="AF48" s="5"/>
      <c r="AG48" s="5"/>
      <c r="AH48" s="5"/>
      <c r="AI48" s="5"/>
      <c r="AJ48" s="5"/>
    </row>
    <row r="49" spans="1:36" ht="13.5" customHeight="1" x14ac:dyDescent="0.2">
      <c r="A49" s="26">
        <v>41518</v>
      </c>
      <c r="B49" s="16">
        <v>52071095</v>
      </c>
      <c r="C49" s="16">
        <v>35774139</v>
      </c>
      <c r="D49" s="16">
        <v>16296956</v>
      </c>
      <c r="E49" s="16">
        <v>14989625</v>
      </c>
      <c r="F49" s="16">
        <v>1307331</v>
      </c>
      <c r="G49" s="16">
        <v>20118645</v>
      </c>
      <c r="H49" s="16">
        <v>14018134</v>
      </c>
      <c r="I49" s="16">
        <v>6100511</v>
      </c>
      <c r="J49" s="16">
        <v>5708206</v>
      </c>
      <c r="K49" s="16">
        <v>392305</v>
      </c>
      <c r="L49" s="16">
        <v>9757919</v>
      </c>
      <c r="M49" s="16">
        <v>6657886</v>
      </c>
      <c r="N49" s="16">
        <v>3100033</v>
      </c>
      <c r="O49" s="16">
        <v>2816780</v>
      </c>
      <c r="P49" s="16">
        <v>283253</v>
      </c>
      <c r="Q49" s="16">
        <v>9402410</v>
      </c>
      <c r="R49" s="16">
        <v>6500641</v>
      </c>
      <c r="S49" s="16">
        <v>2901769</v>
      </c>
      <c r="T49" s="16">
        <v>2626595</v>
      </c>
      <c r="U49" s="16">
        <v>275174</v>
      </c>
      <c r="V49" s="16">
        <v>1552052</v>
      </c>
      <c r="W49" s="16">
        <v>1068611</v>
      </c>
      <c r="X49" s="16">
        <v>483441</v>
      </c>
      <c r="Y49" s="16">
        <v>433370</v>
      </c>
      <c r="Z49" s="16">
        <v>50071</v>
      </c>
      <c r="AA49" s="16">
        <v>11240069</v>
      </c>
      <c r="AB49" s="16">
        <v>7528867</v>
      </c>
      <c r="AC49" s="16">
        <v>3711202</v>
      </c>
      <c r="AD49" s="16">
        <v>3404674</v>
      </c>
      <c r="AE49" s="16">
        <v>306528</v>
      </c>
      <c r="AF49" s="5"/>
      <c r="AG49" s="5"/>
      <c r="AH49" s="5"/>
      <c r="AI49" s="5"/>
      <c r="AJ49" s="5"/>
    </row>
    <row r="50" spans="1:36" ht="13.5" customHeight="1" x14ac:dyDescent="0.2">
      <c r="A50" s="26">
        <v>41548</v>
      </c>
      <c r="B50" s="16">
        <v>62958654</v>
      </c>
      <c r="C50" s="16">
        <v>42492181</v>
      </c>
      <c r="D50" s="16">
        <v>20466473</v>
      </c>
      <c r="E50" s="16">
        <v>18864917</v>
      </c>
      <c r="F50" s="16">
        <v>1601556</v>
      </c>
      <c r="G50" s="16">
        <v>24907556</v>
      </c>
      <c r="H50" s="16">
        <v>17050045</v>
      </c>
      <c r="I50" s="16">
        <v>7857511</v>
      </c>
      <c r="J50" s="16">
        <v>7370550</v>
      </c>
      <c r="K50" s="16">
        <v>486961</v>
      </c>
      <c r="L50" s="16">
        <v>11463927</v>
      </c>
      <c r="M50" s="16">
        <v>7625199</v>
      </c>
      <c r="N50" s="16">
        <v>3838728</v>
      </c>
      <c r="O50" s="16">
        <v>3497514</v>
      </c>
      <c r="P50" s="16">
        <v>341214</v>
      </c>
      <c r="Q50" s="16">
        <v>11195386</v>
      </c>
      <c r="R50" s="16">
        <v>7640096</v>
      </c>
      <c r="S50" s="16">
        <v>3555290</v>
      </c>
      <c r="T50" s="16">
        <v>3220613</v>
      </c>
      <c r="U50" s="16">
        <v>334677</v>
      </c>
      <c r="V50" s="16">
        <v>1826179</v>
      </c>
      <c r="W50" s="16">
        <v>1236381</v>
      </c>
      <c r="X50" s="16">
        <v>589798</v>
      </c>
      <c r="Y50" s="16">
        <v>529320</v>
      </c>
      <c r="Z50" s="16">
        <v>60478</v>
      </c>
      <c r="AA50" s="16">
        <v>13565606</v>
      </c>
      <c r="AB50" s="16">
        <v>8940460</v>
      </c>
      <c r="AC50" s="16">
        <v>4625146</v>
      </c>
      <c r="AD50" s="16">
        <v>4246920</v>
      </c>
      <c r="AE50" s="16">
        <v>378226</v>
      </c>
      <c r="AF50" s="5"/>
      <c r="AG50" s="5"/>
      <c r="AH50" s="5"/>
      <c r="AI50" s="5"/>
      <c r="AJ50" s="5"/>
    </row>
    <row r="51" spans="1:36" ht="13.5" customHeight="1" x14ac:dyDescent="0.2">
      <c r="A51" s="26">
        <v>41579</v>
      </c>
      <c r="B51" s="16">
        <v>58514454</v>
      </c>
      <c r="C51" s="16">
        <v>39767103</v>
      </c>
      <c r="D51" s="16">
        <v>18747351</v>
      </c>
      <c r="E51" s="16">
        <v>17240513</v>
      </c>
      <c r="F51" s="16">
        <v>1506838</v>
      </c>
      <c r="G51" s="16">
        <v>22957054</v>
      </c>
      <c r="H51" s="16">
        <v>15826189</v>
      </c>
      <c r="I51" s="16">
        <v>7130865</v>
      </c>
      <c r="J51" s="16">
        <v>6677971</v>
      </c>
      <c r="K51" s="16">
        <v>452894</v>
      </c>
      <c r="L51" s="16">
        <v>10772677</v>
      </c>
      <c r="M51" s="16">
        <v>7224424</v>
      </c>
      <c r="N51" s="16">
        <v>3548253</v>
      </c>
      <c r="O51" s="16">
        <v>3225980</v>
      </c>
      <c r="P51" s="16">
        <v>322273</v>
      </c>
      <c r="Q51" s="16">
        <v>10442336</v>
      </c>
      <c r="R51" s="16">
        <v>7158494</v>
      </c>
      <c r="S51" s="16">
        <v>3283842</v>
      </c>
      <c r="T51" s="16">
        <v>2965842</v>
      </c>
      <c r="U51" s="16">
        <v>318000</v>
      </c>
      <c r="V51" s="16">
        <v>1710853</v>
      </c>
      <c r="W51" s="16">
        <v>1165316</v>
      </c>
      <c r="X51" s="16">
        <v>545537</v>
      </c>
      <c r="Y51" s="16">
        <v>487920</v>
      </c>
      <c r="Z51" s="16">
        <v>57617</v>
      </c>
      <c r="AA51" s="16">
        <v>12631534</v>
      </c>
      <c r="AB51" s="16">
        <v>8392680</v>
      </c>
      <c r="AC51" s="16">
        <v>4238854</v>
      </c>
      <c r="AD51" s="16">
        <v>3882800</v>
      </c>
      <c r="AE51" s="16">
        <v>356054</v>
      </c>
      <c r="AF51" s="5"/>
      <c r="AG51" s="5"/>
      <c r="AH51" s="5"/>
      <c r="AI51" s="5"/>
      <c r="AJ51" s="5"/>
    </row>
    <row r="52" spans="1:36" ht="13.5" customHeight="1" x14ac:dyDescent="0.2">
      <c r="A52" s="26">
        <v>41609</v>
      </c>
      <c r="B52" s="16">
        <v>57562952</v>
      </c>
      <c r="C52" s="16">
        <v>40732559</v>
      </c>
      <c r="D52" s="16">
        <v>16830393</v>
      </c>
      <c r="E52" s="16">
        <v>15370387</v>
      </c>
      <c r="F52" s="16">
        <v>1460006</v>
      </c>
      <c r="G52" s="16">
        <v>22308211</v>
      </c>
      <c r="H52" s="16">
        <v>16097757</v>
      </c>
      <c r="I52" s="16">
        <v>6210454</v>
      </c>
      <c r="J52" s="16">
        <v>5770298</v>
      </c>
      <c r="K52" s="16">
        <v>440156</v>
      </c>
      <c r="L52" s="16">
        <v>10666455</v>
      </c>
      <c r="M52" s="16">
        <v>7491149</v>
      </c>
      <c r="N52" s="16">
        <v>3175306</v>
      </c>
      <c r="O52" s="16">
        <v>2870631</v>
      </c>
      <c r="P52" s="16">
        <v>304675</v>
      </c>
      <c r="Q52" s="16">
        <v>10456593</v>
      </c>
      <c r="R52" s="16">
        <v>7340562</v>
      </c>
      <c r="S52" s="16">
        <v>3116031</v>
      </c>
      <c r="T52" s="16">
        <v>2801000</v>
      </c>
      <c r="U52" s="16">
        <v>315031</v>
      </c>
      <c r="V52" s="16">
        <v>1715709</v>
      </c>
      <c r="W52" s="16">
        <v>1206222</v>
      </c>
      <c r="X52" s="16">
        <v>509487</v>
      </c>
      <c r="Y52" s="16">
        <v>452320</v>
      </c>
      <c r="Z52" s="16">
        <v>57167</v>
      </c>
      <c r="AA52" s="16">
        <v>12415984</v>
      </c>
      <c r="AB52" s="16">
        <v>8596869</v>
      </c>
      <c r="AC52" s="16">
        <v>3819115</v>
      </c>
      <c r="AD52" s="16">
        <v>3476138</v>
      </c>
      <c r="AE52" s="16">
        <v>342977</v>
      </c>
      <c r="AF52" s="5"/>
      <c r="AG52" s="5"/>
      <c r="AH52" s="5"/>
      <c r="AI52" s="5"/>
      <c r="AJ52" s="5"/>
    </row>
    <row r="53" spans="1:36" ht="13.5" customHeight="1" x14ac:dyDescent="0.2">
      <c r="A53" s="26">
        <v>41640</v>
      </c>
      <c r="B53" s="16">
        <v>50444413</v>
      </c>
      <c r="C53" s="16">
        <v>37887824</v>
      </c>
      <c r="D53" s="16">
        <v>12556589</v>
      </c>
      <c r="E53" s="16">
        <v>11950679</v>
      </c>
      <c r="F53" s="16">
        <v>605910</v>
      </c>
      <c r="G53" s="16">
        <v>19958740</v>
      </c>
      <c r="H53" s="16">
        <v>15298522</v>
      </c>
      <c r="I53" s="16">
        <v>4660218</v>
      </c>
      <c r="J53" s="16">
        <v>4480074</v>
      </c>
      <c r="K53" s="16">
        <v>180144</v>
      </c>
      <c r="L53" s="16">
        <v>9113646</v>
      </c>
      <c r="M53" s="16">
        <v>6814517</v>
      </c>
      <c r="N53" s="16">
        <v>2299129</v>
      </c>
      <c r="O53" s="16">
        <v>2172889</v>
      </c>
      <c r="P53" s="16">
        <v>126240</v>
      </c>
      <c r="Q53" s="16">
        <v>9151667</v>
      </c>
      <c r="R53" s="16">
        <v>6771856</v>
      </c>
      <c r="S53" s="16">
        <v>2379811</v>
      </c>
      <c r="T53" s="16">
        <v>2246407</v>
      </c>
      <c r="U53" s="16">
        <v>133404</v>
      </c>
      <c r="V53" s="16">
        <v>1469479</v>
      </c>
      <c r="W53" s="16">
        <v>1095077</v>
      </c>
      <c r="X53" s="16">
        <v>374402</v>
      </c>
      <c r="Y53" s="16">
        <v>350431</v>
      </c>
      <c r="Z53" s="16">
        <v>23971</v>
      </c>
      <c r="AA53" s="16">
        <v>10750881</v>
      </c>
      <c r="AB53" s="16">
        <v>7907852</v>
      </c>
      <c r="AC53" s="16">
        <v>2843029</v>
      </c>
      <c r="AD53" s="16">
        <v>2700878</v>
      </c>
      <c r="AE53" s="16">
        <v>142151</v>
      </c>
      <c r="AF53" s="5"/>
      <c r="AG53" s="5"/>
      <c r="AH53" s="5"/>
      <c r="AI53" s="5"/>
      <c r="AJ53" s="5"/>
    </row>
    <row r="54" spans="1:36" ht="13.5" customHeight="1" x14ac:dyDescent="0.2">
      <c r="A54" s="26">
        <v>41671</v>
      </c>
      <c r="B54" s="16">
        <v>39210626</v>
      </c>
      <c r="C54" s="16">
        <v>32090777</v>
      </c>
      <c r="D54" s="16">
        <v>7119849</v>
      </c>
      <c r="E54" s="16">
        <v>6998230</v>
      </c>
      <c r="F54" s="16">
        <v>121619</v>
      </c>
      <c r="G54" s="16">
        <v>15302151</v>
      </c>
      <c r="H54" s="16">
        <v>12723772</v>
      </c>
      <c r="I54" s="16">
        <v>2578379</v>
      </c>
      <c r="J54" s="16">
        <v>2541488</v>
      </c>
      <c r="K54" s="16">
        <v>36891</v>
      </c>
      <c r="L54" s="16">
        <v>7279980</v>
      </c>
      <c r="M54" s="16">
        <v>5954164</v>
      </c>
      <c r="N54" s="16">
        <v>1325816</v>
      </c>
      <c r="O54" s="16">
        <v>1295399</v>
      </c>
      <c r="P54" s="16">
        <v>30417</v>
      </c>
      <c r="Q54" s="16">
        <v>7098401</v>
      </c>
      <c r="R54" s="16">
        <v>5710917</v>
      </c>
      <c r="S54" s="16">
        <v>1387484</v>
      </c>
      <c r="T54" s="16">
        <v>1365490</v>
      </c>
      <c r="U54" s="16">
        <v>21994</v>
      </c>
      <c r="V54" s="16">
        <v>1163393</v>
      </c>
      <c r="W54" s="16">
        <v>949619</v>
      </c>
      <c r="X54" s="16">
        <v>213774</v>
      </c>
      <c r="Y54" s="16">
        <v>210211</v>
      </c>
      <c r="Z54" s="16">
        <v>3563</v>
      </c>
      <c r="AA54" s="16">
        <v>8366701</v>
      </c>
      <c r="AB54" s="16">
        <v>6752305</v>
      </c>
      <c r="AC54" s="16">
        <v>1614396</v>
      </c>
      <c r="AD54" s="16">
        <v>1585642</v>
      </c>
      <c r="AE54" s="16">
        <v>28754</v>
      </c>
      <c r="AF54" s="5"/>
      <c r="AG54" s="5"/>
      <c r="AH54" s="5"/>
      <c r="AI54" s="5"/>
      <c r="AJ54" s="5"/>
    </row>
    <row r="55" spans="1:36" ht="13.5" customHeight="1" x14ac:dyDescent="0.2">
      <c r="A55" s="26">
        <v>41699</v>
      </c>
      <c r="B55" s="16">
        <v>58273732</v>
      </c>
      <c r="C55" s="16">
        <v>40639376</v>
      </c>
      <c r="D55" s="16">
        <v>17634356</v>
      </c>
      <c r="E55" s="16">
        <v>16353454</v>
      </c>
      <c r="F55" s="16">
        <v>1280902</v>
      </c>
      <c r="G55" s="16">
        <v>23012219</v>
      </c>
      <c r="H55" s="16">
        <v>16331808</v>
      </c>
      <c r="I55" s="16">
        <v>6680411</v>
      </c>
      <c r="J55" s="16">
        <v>6293613</v>
      </c>
      <c r="K55" s="16">
        <v>386798</v>
      </c>
      <c r="L55" s="16">
        <v>10564148</v>
      </c>
      <c r="M55" s="16">
        <v>7309391</v>
      </c>
      <c r="N55" s="16">
        <v>3254757</v>
      </c>
      <c r="O55" s="16">
        <v>2973410</v>
      </c>
      <c r="P55" s="16">
        <v>281347</v>
      </c>
      <c r="Q55" s="16">
        <v>10372280</v>
      </c>
      <c r="R55" s="16">
        <v>7241614</v>
      </c>
      <c r="S55" s="16">
        <v>3130666</v>
      </c>
      <c r="T55" s="16">
        <v>2877143</v>
      </c>
      <c r="U55" s="16">
        <v>253523</v>
      </c>
      <c r="V55" s="16">
        <v>1692685</v>
      </c>
      <c r="W55" s="16">
        <v>1179565</v>
      </c>
      <c r="X55" s="16">
        <v>513120</v>
      </c>
      <c r="Y55" s="16">
        <v>466764</v>
      </c>
      <c r="Z55" s="16">
        <v>46356</v>
      </c>
      <c r="AA55" s="16">
        <v>12632400</v>
      </c>
      <c r="AB55" s="16">
        <v>8576998</v>
      </c>
      <c r="AC55" s="16">
        <v>4055402</v>
      </c>
      <c r="AD55" s="16">
        <v>3742524</v>
      </c>
      <c r="AE55" s="16">
        <v>312878</v>
      </c>
      <c r="AF55" s="5"/>
      <c r="AG55" s="5"/>
      <c r="AH55" s="5"/>
      <c r="AI55" s="5"/>
      <c r="AJ55" s="5"/>
    </row>
    <row r="56" spans="1:36" ht="13.5" customHeight="1" x14ac:dyDescent="0.2">
      <c r="A56" s="26">
        <v>41730</v>
      </c>
      <c r="B56" s="16">
        <v>59724965</v>
      </c>
      <c r="C56" s="16">
        <v>39119654</v>
      </c>
      <c r="D56" s="16">
        <v>20605311</v>
      </c>
      <c r="E56" s="16">
        <v>19158648</v>
      </c>
      <c r="F56" s="16">
        <v>1446663</v>
      </c>
      <c r="G56" s="16">
        <v>23740051</v>
      </c>
      <c r="H56" s="16">
        <v>15736926</v>
      </c>
      <c r="I56" s="16">
        <v>8003125</v>
      </c>
      <c r="J56" s="16">
        <v>7564988</v>
      </c>
      <c r="K56" s="16">
        <v>438137</v>
      </c>
      <c r="L56" s="16">
        <v>10822642</v>
      </c>
      <c r="M56" s="16">
        <v>7021723</v>
      </c>
      <c r="N56" s="16">
        <v>3800919</v>
      </c>
      <c r="O56" s="16">
        <v>3487268</v>
      </c>
      <c r="P56" s="16">
        <v>313651</v>
      </c>
      <c r="Q56" s="16">
        <v>10537301</v>
      </c>
      <c r="R56" s="16">
        <v>6998012</v>
      </c>
      <c r="S56" s="16">
        <v>3539289</v>
      </c>
      <c r="T56" s="16">
        <v>3249127</v>
      </c>
      <c r="U56" s="16">
        <v>290162</v>
      </c>
      <c r="V56" s="16">
        <v>1756084</v>
      </c>
      <c r="W56" s="16">
        <v>1155085</v>
      </c>
      <c r="X56" s="16">
        <v>600999</v>
      </c>
      <c r="Y56" s="16">
        <v>546455</v>
      </c>
      <c r="Z56" s="16">
        <v>54544</v>
      </c>
      <c r="AA56" s="16">
        <v>12868887</v>
      </c>
      <c r="AB56" s="16">
        <v>8207908</v>
      </c>
      <c r="AC56" s="16">
        <v>4660979</v>
      </c>
      <c r="AD56" s="16">
        <v>4310810</v>
      </c>
      <c r="AE56" s="16">
        <v>350169</v>
      </c>
      <c r="AF56" s="5"/>
      <c r="AG56" s="5"/>
      <c r="AH56" s="5"/>
      <c r="AI56" s="5"/>
      <c r="AJ56" s="5"/>
    </row>
    <row r="57" spans="1:36" ht="13.5" customHeight="1" x14ac:dyDescent="0.2">
      <c r="A57" s="26">
        <v>41760</v>
      </c>
      <c r="B57" s="16">
        <v>59190033</v>
      </c>
      <c r="C57" s="16">
        <v>38445031</v>
      </c>
      <c r="D57" s="16">
        <v>20745002</v>
      </c>
      <c r="E57" s="16">
        <v>19156628</v>
      </c>
      <c r="F57" s="16">
        <v>1588374</v>
      </c>
      <c r="G57" s="16">
        <v>23261178</v>
      </c>
      <c r="H57" s="16">
        <v>15337295</v>
      </c>
      <c r="I57" s="16">
        <v>7923883</v>
      </c>
      <c r="J57" s="16">
        <v>7449663</v>
      </c>
      <c r="K57" s="16">
        <v>474220</v>
      </c>
      <c r="L57" s="16">
        <v>10795056</v>
      </c>
      <c r="M57" s="16">
        <v>6945799</v>
      </c>
      <c r="N57" s="16">
        <v>3849257</v>
      </c>
      <c r="O57" s="16">
        <v>3512380</v>
      </c>
      <c r="P57" s="16">
        <v>336877</v>
      </c>
      <c r="Q57" s="16">
        <v>10518244</v>
      </c>
      <c r="R57" s="16">
        <v>6892901</v>
      </c>
      <c r="S57" s="16">
        <v>3625343</v>
      </c>
      <c r="T57" s="16">
        <v>3296532</v>
      </c>
      <c r="U57" s="16">
        <v>328811</v>
      </c>
      <c r="V57" s="16">
        <v>1818237</v>
      </c>
      <c r="W57" s="16">
        <v>1182304</v>
      </c>
      <c r="X57" s="16">
        <v>635933</v>
      </c>
      <c r="Y57" s="16">
        <v>571372</v>
      </c>
      <c r="Z57" s="16">
        <v>64561</v>
      </c>
      <c r="AA57" s="16">
        <v>12797318</v>
      </c>
      <c r="AB57" s="16">
        <v>8086732</v>
      </c>
      <c r="AC57" s="16">
        <v>4710586</v>
      </c>
      <c r="AD57" s="16">
        <v>4326681</v>
      </c>
      <c r="AE57" s="16">
        <v>383905</v>
      </c>
      <c r="AF57" s="5"/>
      <c r="AG57" s="5"/>
      <c r="AH57" s="5"/>
      <c r="AI57" s="5"/>
      <c r="AJ57" s="5"/>
    </row>
    <row r="58" spans="1:36" ht="13.5" customHeight="1" x14ac:dyDescent="0.2">
      <c r="A58" s="26">
        <v>41791</v>
      </c>
      <c r="B58" s="16">
        <v>57295504</v>
      </c>
      <c r="C58" s="16">
        <v>40234490</v>
      </c>
      <c r="D58" s="16">
        <v>17061014</v>
      </c>
      <c r="E58" s="16">
        <v>15835970</v>
      </c>
      <c r="F58" s="16">
        <v>1225044</v>
      </c>
      <c r="G58" s="16">
        <v>22611270</v>
      </c>
      <c r="H58" s="16">
        <v>16053614</v>
      </c>
      <c r="I58" s="16">
        <v>6557656</v>
      </c>
      <c r="J58" s="16">
        <v>6189957</v>
      </c>
      <c r="K58" s="16">
        <v>367699</v>
      </c>
      <c r="L58" s="16">
        <v>10291522</v>
      </c>
      <c r="M58" s="16">
        <v>7117507</v>
      </c>
      <c r="N58" s="16">
        <v>3174015</v>
      </c>
      <c r="O58" s="16">
        <v>2917972</v>
      </c>
      <c r="P58" s="16">
        <v>256043</v>
      </c>
      <c r="Q58" s="16">
        <v>10212588</v>
      </c>
      <c r="R58" s="16">
        <v>7267115</v>
      </c>
      <c r="S58" s="16">
        <v>2945473</v>
      </c>
      <c r="T58" s="16">
        <v>2685138</v>
      </c>
      <c r="U58" s="16">
        <v>260335</v>
      </c>
      <c r="V58" s="16">
        <v>1760952</v>
      </c>
      <c r="W58" s="16">
        <v>1245407</v>
      </c>
      <c r="X58" s="16">
        <v>515545</v>
      </c>
      <c r="Y58" s="16">
        <v>464493</v>
      </c>
      <c r="Z58" s="16">
        <v>51052</v>
      </c>
      <c r="AA58" s="16">
        <v>12419172</v>
      </c>
      <c r="AB58" s="16">
        <v>8550847</v>
      </c>
      <c r="AC58" s="16">
        <v>3868325</v>
      </c>
      <c r="AD58" s="16">
        <v>3578410</v>
      </c>
      <c r="AE58" s="16">
        <v>289915</v>
      </c>
      <c r="AF58" s="5"/>
      <c r="AG58" s="5"/>
      <c r="AH58" s="5"/>
      <c r="AI58" s="5"/>
      <c r="AJ58" s="5"/>
    </row>
    <row r="59" spans="1:36" ht="13.5" customHeight="1" x14ac:dyDescent="0.2">
      <c r="A59" s="26">
        <v>41821</v>
      </c>
      <c r="B59" s="16">
        <v>57096162</v>
      </c>
      <c r="C59" s="18">
        <v>41441366</v>
      </c>
      <c r="D59" s="18">
        <v>15654796</v>
      </c>
      <c r="E59" s="16">
        <v>14339137</v>
      </c>
      <c r="F59" s="16">
        <v>1315659</v>
      </c>
      <c r="G59" s="16">
        <v>22504987</v>
      </c>
      <c r="H59" s="18">
        <v>16689610</v>
      </c>
      <c r="I59" s="18">
        <v>5815377</v>
      </c>
      <c r="J59" s="18">
        <v>5426102</v>
      </c>
      <c r="K59" s="18">
        <v>389275</v>
      </c>
      <c r="L59" s="16">
        <v>10256694</v>
      </c>
      <c r="M59" s="18">
        <v>7348085</v>
      </c>
      <c r="N59" s="18">
        <v>2908609</v>
      </c>
      <c r="O59" s="18">
        <v>2639994</v>
      </c>
      <c r="P59" s="18">
        <v>268615</v>
      </c>
      <c r="Q59" s="16">
        <v>10241914</v>
      </c>
      <c r="R59" s="18">
        <v>7376895</v>
      </c>
      <c r="S59" s="18">
        <v>2865019</v>
      </c>
      <c r="T59" s="18">
        <v>2576470</v>
      </c>
      <c r="U59" s="18">
        <v>288549</v>
      </c>
      <c r="V59" s="16">
        <v>1764643</v>
      </c>
      <c r="W59" s="18">
        <v>1272561</v>
      </c>
      <c r="X59" s="18">
        <v>492082</v>
      </c>
      <c r="Y59" s="18">
        <v>435696</v>
      </c>
      <c r="Z59" s="18">
        <v>56386</v>
      </c>
      <c r="AA59" s="16">
        <v>12327924</v>
      </c>
      <c r="AB59" s="18">
        <v>8754215</v>
      </c>
      <c r="AC59" s="18">
        <v>3573709</v>
      </c>
      <c r="AD59" s="18">
        <v>3260875</v>
      </c>
      <c r="AE59" s="18">
        <v>312834</v>
      </c>
      <c r="AF59" s="5"/>
      <c r="AG59" s="5"/>
      <c r="AH59" s="5"/>
      <c r="AI59" s="5"/>
      <c r="AJ59" s="5"/>
    </row>
    <row r="60" spans="1:36" ht="13.5" customHeight="1" x14ac:dyDescent="0.2">
      <c r="A60" s="26">
        <v>41852</v>
      </c>
      <c r="B60" s="16">
        <v>58149357</v>
      </c>
      <c r="C60" s="18">
        <v>40066737</v>
      </c>
      <c r="D60" s="18">
        <v>18082620</v>
      </c>
      <c r="E60" s="18">
        <v>16596841</v>
      </c>
      <c r="F60" s="18">
        <v>1485779</v>
      </c>
      <c r="G60" s="16">
        <v>22845716</v>
      </c>
      <c r="H60" s="18">
        <v>16029918</v>
      </c>
      <c r="I60" s="18">
        <v>6815798</v>
      </c>
      <c r="J60" s="18">
        <v>6371549</v>
      </c>
      <c r="K60" s="18">
        <v>444249</v>
      </c>
      <c r="L60" s="16">
        <v>10666424</v>
      </c>
      <c r="M60" s="18">
        <v>7244647</v>
      </c>
      <c r="N60" s="18">
        <v>3421777</v>
      </c>
      <c r="O60" s="18">
        <v>3107283</v>
      </c>
      <c r="P60" s="18">
        <v>314494</v>
      </c>
      <c r="Q60" s="16">
        <v>10258899</v>
      </c>
      <c r="R60" s="18">
        <v>7084707</v>
      </c>
      <c r="S60" s="18">
        <v>3174192</v>
      </c>
      <c r="T60" s="18">
        <v>2861858</v>
      </c>
      <c r="U60" s="18">
        <v>312334</v>
      </c>
      <c r="V60" s="16">
        <v>1770309</v>
      </c>
      <c r="W60" s="18">
        <v>1225404</v>
      </c>
      <c r="X60" s="18">
        <v>544905</v>
      </c>
      <c r="Y60" s="18">
        <v>484127</v>
      </c>
      <c r="Z60" s="18">
        <v>60778</v>
      </c>
      <c r="AA60" s="16">
        <v>12608009</v>
      </c>
      <c r="AB60" s="18">
        <v>8482061</v>
      </c>
      <c r="AC60" s="18">
        <v>4125948</v>
      </c>
      <c r="AD60" s="18">
        <v>3772024</v>
      </c>
      <c r="AE60" s="18">
        <v>353924</v>
      </c>
      <c r="AF60" s="5"/>
      <c r="AG60" s="5"/>
      <c r="AH60" s="5"/>
      <c r="AI60" s="5"/>
      <c r="AJ60" s="5"/>
    </row>
    <row r="61" spans="1:36" ht="13.5" customHeight="1" x14ac:dyDescent="0.2">
      <c r="A61" s="26">
        <v>41883</v>
      </c>
      <c r="B61" s="16">
        <v>54544091</v>
      </c>
      <c r="C61" s="18">
        <v>37171419</v>
      </c>
      <c r="D61" s="18">
        <v>17372672</v>
      </c>
      <c r="E61" s="18">
        <v>15969560</v>
      </c>
      <c r="F61" s="18">
        <v>1403112</v>
      </c>
      <c r="G61" s="16">
        <v>21098346</v>
      </c>
      <c r="H61" s="18">
        <v>14594888</v>
      </c>
      <c r="I61" s="18">
        <v>6503458</v>
      </c>
      <c r="J61" s="18">
        <v>6092765</v>
      </c>
      <c r="K61" s="18">
        <v>410693</v>
      </c>
      <c r="L61" s="16">
        <v>10115138</v>
      </c>
      <c r="M61" s="18">
        <v>6832342</v>
      </c>
      <c r="N61" s="18">
        <v>3282796</v>
      </c>
      <c r="O61" s="18">
        <v>2985734</v>
      </c>
      <c r="P61" s="18">
        <v>297062</v>
      </c>
      <c r="Q61" s="16">
        <v>9744909</v>
      </c>
      <c r="R61" s="18">
        <v>6685351</v>
      </c>
      <c r="S61" s="18">
        <v>3059558</v>
      </c>
      <c r="T61" s="18">
        <v>2759565</v>
      </c>
      <c r="U61" s="18">
        <v>299993</v>
      </c>
      <c r="V61" s="16">
        <v>1694270</v>
      </c>
      <c r="W61" s="18">
        <v>1161528</v>
      </c>
      <c r="X61" s="18">
        <v>532742</v>
      </c>
      <c r="Y61" s="18">
        <v>474367</v>
      </c>
      <c r="Z61" s="18">
        <v>58375</v>
      </c>
      <c r="AA61" s="16">
        <v>11891428</v>
      </c>
      <c r="AB61" s="18">
        <v>7897310</v>
      </c>
      <c r="AC61" s="18">
        <v>3994118</v>
      </c>
      <c r="AD61" s="18">
        <v>3657129</v>
      </c>
      <c r="AE61" s="18">
        <v>336989</v>
      </c>
      <c r="AF61" s="5"/>
      <c r="AG61" s="5"/>
      <c r="AH61" s="5"/>
      <c r="AI61" s="5"/>
      <c r="AJ61" s="5"/>
    </row>
    <row r="62" spans="1:36" ht="13.5" customHeight="1" x14ac:dyDescent="0.2">
      <c r="A62" s="26">
        <v>41913</v>
      </c>
      <c r="B62" s="16">
        <v>62063867</v>
      </c>
      <c r="C62" s="16">
        <v>41888790</v>
      </c>
      <c r="D62" s="16">
        <v>20175077</v>
      </c>
      <c r="E62" s="16">
        <v>18560354</v>
      </c>
      <c r="F62" s="16">
        <v>1614723</v>
      </c>
      <c r="G62" s="16">
        <v>24348217</v>
      </c>
      <c r="H62" s="16">
        <v>16697311</v>
      </c>
      <c r="I62" s="16">
        <v>7650906</v>
      </c>
      <c r="J62" s="16">
        <v>7174782</v>
      </c>
      <c r="K62" s="16">
        <v>476124</v>
      </c>
      <c r="L62" s="16">
        <v>11365910</v>
      </c>
      <c r="M62" s="16">
        <v>7558604</v>
      </c>
      <c r="N62" s="16">
        <v>3807306</v>
      </c>
      <c r="O62" s="16">
        <v>3464784</v>
      </c>
      <c r="P62" s="16">
        <v>342522</v>
      </c>
      <c r="Q62" s="16">
        <v>11019987</v>
      </c>
      <c r="R62" s="16">
        <v>7497858</v>
      </c>
      <c r="S62" s="16">
        <v>3522129</v>
      </c>
      <c r="T62" s="16">
        <v>3178834</v>
      </c>
      <c r="U62" s="16">
        <v>343295</v>
      </c>
      <c r="V62" s="16">
        <v>1901295</v>
      </c>
      <c r="W62" s="16">
        <v>1294310</v>
      </c>
      <c r="X62" s="16">
        <v>606985</v>
      </c>
      <c r="Y62" s="16">
        <v>543122</v>
      </c>
      <c r="Z62" s="16">
        <v>63863</v>
      </c>
      <c r="AA62" s="16">
        <v>13428458</v>
      </c>
      <c r="AB62" s="16">
        <v>8840707</v>
      </c>
      <c r="AC62" s="16">
        <v>4587751</v>
      </c>
      <c r="AD62" s="16">
        <v>4198832</v>
      </c>
      <c r="AE62" s="16">
        <v>388919</v>
      </c>
      <c r="AF62" s="5"/>
      <c r="AG62" s="5"/>
      <c r="AH62" s="5"/>
      <c r="AI62" s="5"/>
      <c r="AJ62" s="5"/>
    </row>
    <row r="63" spans="1:36" ht="13.5" customHeight="1" x14ac:dyDescent="0.2">
      <c r="A63" s="26">
        <v>41944</v>
      </c>
      <c r="B63" s="16">
        <v>55608183</v>
      </c>
      <c r="C63" s="16">
        <v>37832671</v>
      </c>
      <c r="D63" s="16">
        <v>17775512</v>
      </c>
      <c r="E63" s="16">
        <v>16330237</v>
      </c>
      <c r="F63" s="16">
        <v>1445275</v>
      </c>
      <c r="G63" s="16">
        <v>21525722</v>
      </c>
      <c r="H63" s="16">
        <v>14889609</v>
      </c>
      <c r="I63" s="16">
        <v>6636113</v>
      </c>
      <c r="J63" s="16">
        <v>6213934</v>
      </c>
      <c r="K63" s="16">
        <v>422179</v>
      </c>
      <c r="L63" s="16">
        <v>10326941</v>
      </c>
      <c r="M63" s="16">
        <v>6937131</v>
      </c>
      <c r="N63" s="16">
        <v>3389810</v>
      </c>
      <c r="O63" s="16">
        <v>3083403</v>
      </c>
      <c r="P63" s="16">
        <v>306407</v>
      </c>
      <c r="Q63" s="16">
        <v>10079510</v>
      </c>
      <c r="R63" s="16">
        <v>6887092</v>
      </c>
      <c r="S63" s="16">
        <v>3192418</v>
      </c>
      <c r="T63" s="16">
        <v>2878450</v>
      </c>
      <c r="U63" s="16">
        <v>313968</v>
      </c>
      <c r="V63" s="16">
        <v>1743908</v>
      </c>
      <c r="W63" s="16">
        <v>1191355</v>
      </c>
      <c r="X63" s="16">
        <v>552553</v>
      </c>
      <c r="Y63" s="16">
        <v>494671</v>
      </c>
      <c r="Z63" s="16">
        <v>57882</v>
      </c>
      <c r="AA63" s="16">
        <v>11932102</v>
      </c>
      <c r="AB63" s="16">
        <v>7927484</v>
      </c>
      <c r="AC63" s="16">
        <v>4004618</v>
      </c>
      <c r="AD63" s="16">
        <v>3659779</v>
      </c>
      <c r="AE63" s="16">
        <v>344839</v>
      </c>
      <c r="AF63" s="5"/>
      <c r="AG63" s="5"/>
      <c r="AH63" s="5"/>
      <c r="AI63" s="5"/>
      <c r="AJ63" s="5"/>
    </row>
    <row r="64" spans="1:36" ht="13.5" customHeight="1" x14ac:dyDescent="0.2">
      <c r="A64" s="26">
        <v>41974</v>
      </c>
      <c r="B64" s="16">
        <v>56048219</v>
      </c>
      <c r="C64" s="16">
        <v>39920701</v>
      </c>
      <c r="D64" s="16">
        <v>16127518</v>
      </c>
      <c r="E64" s="16">
        <v>14719744</v>
      </c>
      <c r="F64" s="16">
        <v>1407774</v>
      </c>
      <c r="G64" s="16">
        <v>21743840</v>
      </c>
      <c r="H64" s="16">
        <v>15832438</v>
      </c>
      <c r="I64" s="16">
        <v>5911402</v>
      </c>
      <c r="J64" s="16">
        <v>5501778</v>
      </c>
      <c r="K64" s="16">
        <v>409624</v>
      </c>
      <c r="L64" s="16">
        <v>10310849</v>
      </c>
      <c r="M64" s="16">
        <v>7297622</v>
      </c>
      <c r="N64" s="16">
        <v>3013227</v>
      </c>
      <c r="O64" s="16">
        <v>2721558</v>
      </c>
      <c r="P64" s="16">
        <v>291669</v>
      </c>
      <c r="Q64" s="16">
        <v>10181798</v>
      </c>
      <c r="R64" s="16">
        <v>7145082</v>
      </c>
      <c r="S64" s="16">
        <v>3036716</v>
      </c>
      <c r="T64" s="16">
        <v>2727331</v>
      </c>
      <c r="U64" s="16">
        <v>309385</v>
      </c>
      <c r="V64" s="16">
        <v>1754044</v>
      </c>
      <c r="W64" s="16">
        <v>1242030</v>
      </c>
      <c r="X64" s="16">
        <v>512014</v>
      </c>
      <c r="Y64" s="16">
        <v>454393</v>
      </c>
      <c r="Z64" s="16">
        <v>57621</v>
      </c>
      <c r="AA64" s="16">
        <v>12057688</v>
      </c>
      <c r="AB64" s="16">
        <v>8403529</v>
      </c>
      <c r="AC64" s="16">
        <v>3654159</v>
      </c>
      <c r="AD64" s="16">
        <v>3314684</v>
      </c>
      <c r="AE64" s="16">
        <v>339475</v>
      </c>
      <c r="AF64" s="5"/>
      <c r="AG64" s="5"/>
      <c r="AH64" s="5"/>
      <c r="AI64" s="5"/>
      <c r="AJ64" s="5"/>
    </row>
    <row r="65" spans="1:36" ht="13.5" customHeight="1" x14ac:dyDescent="0.2">
      <c r="A65" s="26">
        <v>42005</v>
      </c>
      <c r="B65" s="16">
        <v>48334077</v>
      </c>
      <c r="C65" s="16">
        <v>35491470</v>
      </c>
      <c r="D65" s="16">
        <v>12842607</v>
      </c>
      <c r="E65" s="16">
        <v>11750112</v>
      </c>
      <c r="F65" s="16">
        <v>1092495</v>
      </c>
      <c r="G65" s="16">
        <v>18890019</v>
      </c>
      <c r="H65" s="16">
        <v>14286928</v>
      </c>
      <c r="I65" s="16">
        <v>4603091</v>
      </c>
      <c r="J65" s="16">
        <v>4284007</v>
      </c>
      <c r="K65" s="16">
        <v>319084</v>
      </c>
      <c r="L65" s="16">
        <v>8750423</v>
      </c>
      <c r="M65" s="16">
        <v>6384482</v>
      </c>
      <c r="N65" s="16">
        <v>2365941</v>
      </c>
      <c r="O65" s="16">
        <v>2149983</v>
      </c>
      <c r="P65" s="16">
        <v>215958</v>
      </c>
      <c r="Q65" s="16">
        <v>8833401</v>
      </c>
      <c r="R65" s="16">
        <v>6306648</v>
      </c>
      <c r="S65" s="16">
        <v>2526753</v>
      </c>
      <c r="T65" s="16">
        <v>2273878</v>
      </c>
      <c r="U65" s="16">
        <v>252875</v>
      </c>
      <c r="V65" s="16">
        <v>1510552</v>
      </c>
      <c r="W65" s="16">
        <v>1087001</v>
      </c>
      <c r="X65" s="16">
        <v>423551</v>
      </c>
      <c r="Y65" s="16">
        <v>377161</v>
      </c>
      <c r="Z65" s="16">
        <v>46390</v>
      </c>
      <c r="AA65" s="16">
        <v>10349682</v>
      </c>
      <c r="AB65" s="16">
        <v>7426411</v>
      </c>
      <c r="AC65" s="16">
        <v>2923271</v>
      </c>
      <c r="AD65" s="16">
        <v>2665083</v>
      </c>
      <c r="AE65" s="16">
        <v>258188</v>
      </c>
      <c r="AF65" s="5"/>
      <c r="AG65" s="5"/>
      <c r="AH65" s="5"/>
      <c r="AI65" s="5"/>
      <c r="AJ65" s="5"/>
    </row>
    <row r="66" spans="1:36" ht="13.5" customHeight="1" x14ac:dyDescent="0.2">
      <c r="A66" s="26">
        <v>42036</v>
      </c>
      <c r="B66" s="16">
        <v>39204118</v>
      </c>
      <c r="C66" s="16">
        <v>29334807</v>
      </c>
      <c r="D66" s="16">
        <v>9869311</v>
      </c>
      <c r="E66" s="16">
        <v>9007180</v>
      </c>
      <c r="F66" s="16">
        <v>862131</v>
      </c>
      <c r="G66" s="16">
        <v>15205668</v>
      </c>
      <c r="H66" s="16">
        <v>11722452</v>
      </c>
      <c r="I66" s="16">
        <v>3483216</v>
      </c>
      <c r="J66" s="16">
        <v>3233458</v>
      </c>
      <c r="K66" s="16">
        <v>249758</v>
      </c>
      <c r="L66" s="16">
        <v>7142216</v>
      </c>
      <c r="M66" s="16">
        <v>5340824</v>
      </c>
      <c r="N66" s="16">
        <v>1801392</v>
      </c>
      <c r="O66" s="16">
        <v>1631964</v>
      </c>
      <c r="P66" s="16">
        <v>169428</v>
      </c>
      <c r="Q66" s="16">
        <v>7193631</v>
      </c>
      <c r="R66" s="16">
        <v>5207274</v>
      </c>
      <c r="S66" s="16">
        <v>1986357</v>
      </c>
      <c r="T66" s="16">
        <v>1785439</v>
      </c>
      <c r="U66" s="16">
        <v>200918</v>
      </c>
      <c r="V66" s="16">
        <v>1262750</v>
      </c>
      <c r="W66" s="16">
        <v>921553</v>
      </c>
      <c r="X66" s="16">
        <v>341197</v>
      </c>
      <c r="Y66" s="16">
        <v>303367</v>
      </c>
      <c r="Z66" s="16">
        <v>37830</v>
      </c>
      <c r="AA66" s="16">
        <v>8399853</v>
      </c>
      <c r="AB66" s="16">
        <v>6142704</v>
      </c>
      <c r="AC66" s="16">
        <v>2257149</v>
      </c>
      <c r="AD66" s="16">
        <v>2052952</v>
      </c>
      <c r="AE66" s="16">
        <v>204197</v>
      </c>
      <c r="AF66" s="5"/>
      <c r="AG66" s="5"/>
      <c r="AH66" s="5"/>
      <c r="AI66" s="5"/>
      <c r="AJ66" s="5"/>
    </row>
    <row r="67" spans="1:36" ht="13.5" customHeight="1" x14ac:dyDescent="0.2">
      <c r="A67" s="26">
        <v>42064</v>
      </c>
      <c r="B67" s="16">
        <v>57924937</v>
      </c>
      <c r="C67" s="16">
        <v>39631697</v>
      </c>
      <c r="D67" s="16">
        <v>18293240</v>
      </c>
      <c r="E67" s="16">
        <v>16825923</v>
      </c>
      <c r="F67" s="16">
        <v>1467317</v>
      </c>
      <c r="G67" s="16">
        <v>22769420</v>
      </c>
      <c r="H67" s="16">
        <v>15910319</v>
      </c>
      <c r="I67" s="16">
        <v>6859101</v>
      </c>
      <c r="J67" s="16">
        <v>6424659</v>
      </c>
      <c r="K67" s="16">
        <v>434442</v>
      </c>
      <c r="L67" s="16">
        <v>10250822</v>
      </c>
      <c r="M67" s="16">
        <v>6933566</v>
      </c>
      <c r="N67" s="16">
        <v>3317256</v>
      </c>
      <c r="O67" s="16">
        <v>3004116</v>
      </c>
      <c r="P67" s="16">
        <v>313140</v>
      </c>
      <c r="Q67" s="16">
        <v>10493035</v>
      </c>
      <c r="R67" s="16">
        <v>7174728</v>
      </c>
      <c r="S67" s="16">
        <v>3318307</v>
      </c>
      <c r="T67" s="16">
        <v>3010212</v>
      </c>
      <c r="U67" s="16">
        <v>308095</v>
      </c>
      <c r="V67" s="16">
        <v>1782665</v>
      </c>
      <c r="W67" s="16">
        <v>1217916</v>
      </c>
      <c r="X67" s="16">
        <v>564749</v>
      </c>
      <c r="Y67" s="16">
        <v>508256</v>
      </c>
      <c r="Z67" s="16">
        <v>56493</v>
      </c>
      <c r="AA67" s="16">
        <v>12628995</v>
      </c>
      <c r="AB67" s="16">
        <v>8395168</v>
      </c>
      <c r="AC67" s="16">
        <v>4233827</v>
      </c>
      <c r="AD67" s="16">
        <v>3878680</v>
      </c>
      <c r="AE67" s="16">
        <v>355147</v>
      </c>
      <c r="AF67" s="5"/>
      <c r="AG67" s="5"/>
      <c r="AH67" s="5"/>
      <c r="AI67" s="5"/>
      <c r="AJ67" s="5"/>
    </row>
    <row r="68" spans="1:36" ht="13.5" customHeight="1" x14ac:dyDescent="0.2">
      <c r="A68" s="26">
        <v>42095</v>
      </c>
      <c r="B68" s="16">
        <v>58423709</v>
      </c>
      <c r="C68" s="16">
        <v>38835460</v>
      </c>
      <c r="D68" s="16">
        <v>19588249</v>
      </c>
      <c r="E68" s="16">
        <v>18073576</v>
      </c>
      <c r="F68" s="16">
        <v>1514673</v>
      </c>
      <c r="G68" s="16">
        <v>23018946</v>
      </c>
      <c r="H68" s="16">
        <v>15572235</v>
      </c>
      <c r="I68" s="16">
        <v>7446711</v>
      </c>
      <c r="J68" s="16">
        <v>6994305</v>
      </c>
      <c r="K68" s="16">
        <v>452406</v>
      </c>
      <c r="L68" s="16">
        <v>10406049</v>
      </c>
      <c r="M68" s="16">
        <v>6813714</v>
      </c>
      <c r="N68" s="16">
        <v>3592335</v>
      </c>
      <c r="O68" s="16">
        <v>3263932</v>
      </c>
      <c r="P68" s="16">
        <v>328403</v>
      </c>
      <c r="Q68" s="16">
        <v>10517401</v>
      </c>
      <c r="R68" s="16">
        <v>7035839</v>
      </c>
      <c r="S68" s="16">
        <v>3481562</v>
      </c>
      <c r="T68" s="16">
        <v>3166986</v>
      </c>
      <c r="U68" s="16">
        <v>314576</v>
      </c>
      <c r="V68" s="16">
        <v>1799969</v>
      </c>
      <c r="W68" s="16">
        <v>1199537</v>
      </c>
      <c r="X68" s="16">
        <v>600432</v>
      </c>
      <c r="Y68" s="16">
        <v>542348</v>
      </c>
      <c r="Z68" s="16">
        <v>58084</v>
      </c>
      <c r="AA68" s="16">
        <v>12681344</v>
      </c>
      <c r="AB68" s="16">
        <v>8214135</v>
      </c>
      <c r="AC68" s="16">
        <v>4467209</v>
      </c>
      <c r="AD68" s="16">
        <v>4106005</v>
      </c>
      <c r="AE68" s="16">
        <v>361204</v>
      </c>
      <c r="AF68" s="5"/>
      <c r="AG68" s="5"/>
      <c r="AH68" s="5"/>
      <c r="AI68" s="5"/>
      <c r="AJ68" s="5"/>
    </row>
    <row r="69" spans="1:36" ht="13.5" customHeight="1" x14ac:dyDescent="0.2">
      <c r="A69" s="26">
        <v>42125</v>
      </c>
      <c r="B69" s="16">
        <v>55574231</v>
      </c>
      <c r="C69" s="16">
        <v>36386964</v>
      </c>
      <c r="D69" s="16">
        <v>19187267</v>
      </c>
      <c r="E69" s="16">
        <v>17702939</v>
      </c>
      <c r="F69" s="16">
        <v>1484328</v>
      </c>
      <c r="G69" s="16">
        <v>21660837</v>
      </c>
      <c r="H69" s="16">
        <v>14414082</v>
      </c>
      <c r="I69" s="16">
        <v>7246755</v>
      </c>
      <c r="J69" s="16">
        <v>6790364</v>
      </c>
      <c r="K69" s="16">
        <v>456391</v>
      </c>
      <c r="L69" s="16">
        <v>10019606</v>
      </c>
      <c r="M69" s="16">
        <v>6515329</v>
      </c>
      <c r="N69" s="16">
        <v>3504277</v>
      </c>
      <c r="O69" s="16">
        <v>3188689</v>
      </c>
      <c r="P69" s="16">
        <v>315588</v>
      </c>
      <c r="Q69" s="16">
        <v>10034957</v>
      </c>
      <c r="R69" s="16">
        <v>6592691</v>
      </c>
      <c r="S69" s="16">
        <v>3442266</v>
      </c>
      <c r="T69" s="16">
        <v>3132187</v>
      </c>
      <c r="U69" s="16">
        <v>310079</v>
      </c>
      <c r="V69" s="16">
        <v>1734370</v>
      </c>
      <c r="W69" s="16">
        <v>1134625</v>
      </c>
      <c r="X69" s="16">
        <v>599745</v>
      </c>
      <c r="Y69" s="16">
        <v>540869</v>
      </c>
      <c r="Z69" s="16">
        <v>58876</v>
      </c>
      <c r="AA69" s="16">
        <v>12124461</v>
      </c>
      <c r="AB69" s="16">
        <v>7730237</v>
      </c>
      <c r="AC69" s="16">
        <v>4394224</v>
      </c>
      <c r="AD69" s="16">
        <v>4050830</v>
      </c>
      <c r="AE69" s="16">
        <v>343394</v>
      </c>
      <c r="AF69" s="5"/>
      <c r="AG69" s="5"/>
      <c r="AH69" s="5"/>
      <c r="AI69" s="5"/>
      <c r="AJ69" s="5"/>
    </row>
    <row r="70" spans="1:36" ht="13.5" customHeight="1" x14ac:dyDescent="0.2">
      <c r="A70" s="26">
        <v>42156</v>
      </c>
      <c r="B70" s="16">
        <v>57802708</v>
      </c>
      <c r="C70" s="16">
        <v>41011444</v>
      </c>
      <c r="D70" s="16">
        <v>16791264</v>
      </c>
      <c r="E70" s="16">
        <v>16107807</v>
      </c>
      <c r="F70" s="16">
        <v>683457</v>
      </c>
      <c r="G70" s="16">
        <v>22638829</v>
      </c>
      <c r="H70" s="16">
        <v>16243067</v>
      </c>
      <c r="I70" s="16">
        <v>6395762</v>
      </c>
      <c r="J70" s="16">
        <v>6166945</v>
      </c>
      <c r="K70" s="16">
        <v>228817</v>
      </c>
      <c r="L70" s="16">
        <v>10198814</v>
      </c>
      <c r="M70" s="16">
        <v>7161534</v>
      </c>
      <c r="N70" s="16">
        <v>3037280</v>
      </c>
      <c r="O70" s="16">
        <v>2887334</v>
      </c>
      <c r="P70" s="16">
        <v>149946</v>
      </c>
      <c r="Q70" s="16">
        <v>10474462</v>
      </c>
      <c r="R70" s="16">
        <v>7493431</v>
      </c>
      <c r="S70" s="16">
        <v>2981031</v>
      </c>
      <c r="T70" s="16">
        <v>2845483</v>
      </c>
      <c r="U70" s="16">
        <v>135548</v>
      </c>
      <c r="V70" s="16">
        <v>1782971</v>
      </c>
      <c r="W70" s="16">
        <v>1274121</v>
      </c>
      <c r="X70" s="16">
        <v>508850</v>
      </c>
      <c r="Y70" s="16">
        <v>483683</v>
      </c>
      <c r="Z70" s="16">
        <v>25167</v>
      </c>
      <c r="AA70" s="16">
        <v>12707632</v>
      </c>
      <c r="AB70" s="16">
        <v>8839291</v>
      </c>
      <c r="AC70" s="16">
        <v>3868341</v>
      </c>
      <c r="AD70" s="16">
        <v>3724362</v>
      </c>
      <c r="AE70" s="16">
        <v>143979</v>
      </c>
      <c r="AF70" s="5"/>
      <c r="AG70" s="5"/>
      <c r="AH70" s="5"/>
      <c r="AI70" s="5"/>
      <c r="AJ70" s="5"/>
    </row>
    <row r="71" spans="1:36" ht="13.5" customHeight="1" x14ac:dyDescent="0.2">
      <c r="A71" s="26">
        <v>42186</v>
      </c>
      <c r="B71" s="16">
        <v>55839497</v>
      </c>
      <c r="C71" s="16">
        <v>40766676</v>
      </c>
      <c r="D71" s="16">
        <v>15072821</v>
      </c>
      <c r="E71" s="16">
        <v>14270741</v>
      </c>
      <c r="F71" s="16">
        <v>802080</v>
      </c>
      <c r="G71" s="16">
        <v>21740524</v>
      </c>
      <c r="H71" s="16">
        <v>16216618</v>
      </c>
      <c r="I71" s="16">
        <v>5523906</v>
      </c>
      <c r="J71" s="16">
        <v>5263945</v>
      </c>
      <c r="K71" s="16">
        <v>259961</v>
      </c>
      <c r="L71" s="16">
        <v>9964788</v>
      </c>
      <c r="M71" s="16">
        <v>7164066</v>
      </c>
      <c r="N71" s="16">
        <v>2800722</v>
      </c>
      <c r="O71" s="16">
        <v>2632249</v>
      </c>
      <c r="P71" s="16">
        <v>168473</v>
      </c>
      <c r="Q71" s="16">
        <v>10186155</v>
      </c>
      <c r="R71" s="16">
        <v>7382139</v>
      </c>
      <c r="S71" s="16">
        <v>2804016</v>
      </c>
      <c r="T71" s="16">
        <v>2636647</v>
      </c>
      <c r="U71" s="16">
        <v>167369</v>
      </c>
      <c r="V71" s="16">
        <v>1738767</v>
      </c>
      <c r="W71" s="16">
        <v>1259442</v>
      </c>
      <c r="X71" s="16">
        <v>479325</v>
      </c>
      <c r="Y71" s="16">
        <v>448535</v>
      </c>
      <c r="Z71" s="16">
        <v>30790</v>
      </c>
      <c r="AA71" s="16">
        <v>12209263</v>
      </c>
      <c r="AB71" s="16">
        <v>8744411</v>
      </c>
      <c r="AC71" s="16">
        <v>3464852</v>
      </c>
      <c r="AD71" s="16">
        <v>3289365</v>
      </c>
      <c r="AE71" s="16">
        <v>175487</v>
      </c>
      <c r="AF71" s="5"/>
      <c r="AG71" s="5"/>
      <c r="AH71" s="5"/>
      <c r="AI71" s="5"/>
      <c r="AJ71" s="5"/>
    </row>
    <row r="72" spans="1:36" ht="13.5" customHeight="1" x14ac:dyDescent="0.2">
      <c r="A72" s="26">
        <v>42217</v>
      </c>
      <c r="B72" s="16">
        <v>57435857</v>
      </c>
      <c r="C72" s="16">
        <v>39757688</v>
      </c>
      <c r="D72" s="16">
        <v>17678169</v>
      </c>
      <c r="E72" s="16">
        <v>16681073</v>
      </c>
      <c r="F72" s="16">
        <v>997096</v>
      </c>
      <c r="G72" s="16">
        <v>22265548</v>
      </c>
      <c r="H72" s="16">
        <v>15644925</v>
      </c>
      <c r="I72" s="16">
        <v>6620623</v>
      </c>
      <c r="J72" s="16">
        <v>6305401</v>
      </c>
      <c r="K72" s="16">
        <v>315222</v>
      </c>
      <c r="L72" s="16">
        <v>10267630</v>
      </c>
      <c r="M72" s="16">
        <v>7034441</v>
      </c>
      <c r="N72" s="16">
        <v>3233189</v>
      </c>
      <c r="O72" s="16">
        <v>3024700</v>
      </c>
      <c r="P72" s="16">
        <v>208489</v>
      </c>
      <c r="Q72" s="16">
        <v>10407591</v>
      </c>
      <c r="R72" s="16">
        <v>7240601</v>
      </c>
      <c r="S72" s="16">
        <v>3166990</v>
      </c>
      <c r="T72" s="16">
        <v>2962383</v>
      </c>
      <c r="U72" s="16">
        <v>204607</v>
      </c>
      <c r="V72" s="16">
        <v>1795328</v>
      </c>
      <c r="W72" s="16">
        <v>1249506</v>
      </c>
      <c r="X72" s="16">
        <v>545822</v>
      </c>
      <c r="Y72" s="16">
        <v>508980</v>
      </c>
      <c r="Z72" s="16">
        <v>36842</v>
      </c>
      <c r="AA72" s="16">
        <v>12699760</v>
      </c>
      <c r="AB72" s="16">
        <v>8588215</v>
      </c>
      <c r="AC72" s="16">
        <v>4111545</v>
      </c>
      <c r="AD72" s="16">
        <v>3879609</v>
      </c>
      <c r="AE72" s="16">
        <v>231936</v>
      </c>
      <c r="AF72" s="5"/>
      <c r="AG72" s="5"/>
      <c r="AH72" s="5"/>
      <c r="AI72" s="5"/>
      <c r="AJ72" s="5"/>
    </row>
    <row r="73" spans="1:36" ht="13.5" customHeight="1" x14ac:dyDescent="0.2">
      <c r="A73" s="26">
        <v>42248</v>
      </c>
      <c r="B73" s="16">
        <v>55741302</v>
      </c>
      <c r="C73" s="16">
        <v>38295278</v>
      </c>
      <c r="D73" s="16">
        <v>17446024</v>
      </c>
      <c r="E73" s="16">
        <v>16505750</v>
      </c>
      <c r="F73" s="16">
        <v>940274</v>
      </c>
      <c r="G73" s="16">
        <v>21372577</v>
      </c>
      <c r="H73" s="16">
        <v>14934469</v>
      </c>
      <c r="I73" s="16">
        <v>6438108</v>
      </c>
      <c r="J73" s="16">
        <v>6167400</v>
      </c>
      <c r="K73" s="16">
        <v>270708</v>
      </c>
      <c r="L73" s="16">
        <v>10156149</v>
      </c>
      <c r="M73" s="16">
        <v>6915595</v>
      </c>
      <c r="N73" s="16">
        <v>3240554</v>
      </c>
      <c r="O73" s="16">
        <v>3037017</v>
      </c>
      <c r="P73" s="16">
        <v>203537</v>
      </c>
      <c r="Q73" s="16">
        <v>10105014</v>
      </c>
      <c r="R73" s="16">
        <v>6983276</v>
      </c>
      <c r="S73" s="16">
        <v>3121738</v>
      </c>
      <c r="T73" s="16">
        <v>2921232</v>
      </c>
      <c r="U73" s="16">
        <v>200506</v>
      </c>
      <c r="V73" s="16">
        <v>1757808</v>
      </c>
      <c r="W73" s="16">
        <v>1214084</v>
      </c>
      <c r="X73" s="16">
        <v>543724</v>
      </c>
      <c r="Y73" s="16">
        <v>507657</v>
      </c>
      <c r="Z73" s="16">
        <v>36067</v>
      </c>
      <c r="AA73" s="16">
        <v>12349754</v>
      </c>
      <c r="AB73" s="16">
        <v>8247854</v>
      </c>
      <c r="AC73" s="16">
        <v>4101900</v>
      </c>
      <c r="AD73" s="16">
        <v>3872444</v>
      </c>
      <c r="AE73" s="16">
        <v>229456</v>
      </c>
      <c r="AF73" s="5"/>
      <c r="AG73" s="5"/>
      <c r="AH73" s="5"/>
      <c r="AI73" s="5"/>
      <c r="AJ73" s="5"/>
    </row>
    <row r="74" spans="1:36" ht="13.5" customHeight="1" x14ac:dyDescent="0.2">
      <c r="A74" s="26">
        <v>42278</v>
      </c>
      <c r="B74" s="16">
        <v>59674644</v>
      </c>
      <c r="C74" s="16">
        <v>40590755</v>
      </c>
      <c r="D74" s="16">
        <v>19083889</v>
      </c>
      <c r="E74" s="16">
        <v>18018652</v>
      </c>
      <c r="F74" s="16">
        <v>1065237</v>
      </c>
      <c r="G74" s="16">
        <v>23164208</v>
      </c>
      <c r="H74" s="16">
        <v>16051027</v>
      </c>
      <c r="I74" s="16">
        <v>7113181</v>
      </c>
      <c r="J74" s="16">
        <v>6808941</v>
      </c>
      <c r="K74" s="16">
        <v>304240</v>
      </c>
      <c r="L74" s="16">
        <v>10787399</v>
      </c>
      <c r="M74" s="16">
        <v>7240162</v>
      </c>
      <c r="N74" s="16">
        <v>3547237</v>
      </c>
      <c r="O74" s="16">
        <v>3317497</v>
      </c>
      <c r="P74" s="16">
        <v>229740</v>
      </c>
      <c r="Q74" s="16">
        <v>10696098</v>
      </c>
      <c r="R74" s="16">
        <v>7313203</v>
      </c>
      <c r="S74" s="16">
        <v>3382895</v>
      </c>
      <c r="T74" s="16">
        <v>3155107</v>
      </c>
      <c r="U74" s="16">
        <v>227788</v>
      </c>
      <c r="V74" s="16">
        <v>1848495</v>
      </c>
      <c r="W74" s="16">
        <v>1264624</v>
      </c>
      <c r="X74" s="16">
        <v>583871</v>
      </c>
      <c r="Y74" s="16">
        <v>543627</v>
      </c>
      <c r="Z74" s="16">
        <v>40244</v>
      </c>
      <c r="AA74" s="16">
        <v>13178444</v>
      </c>
      <c r="AB74" s="16">
        <v>8721739</v>
      </c>
      <c r="AC74" s="16">
        <v>4456705</v>
      </c>
      <c r="AD74" s="16">
        <v>4193480</v>
      </c>
      <c r="AE74" s="16">
        <v>263225</v>
      </c>
      <c r="AF74" s="5"/>
      <c r="AG74" s="5"/>
      <c r="AH74" s="5"/>
      <c r="AI74" s="5"/>
      <c r="AJ74" s="5"/>
    </row>
    <row r="75" spans="1:36" ht="13.5" customHeight="1" x14ac:dyDescent="0.2">
      <c r="A75" s="26">
        <v>42309</v>
      </c>
      <c r="B75" s="16">
        <v>58883987</v>
      </c>
      <c r="C75" s="16">
        <v>40118832</v>
      </c>
      <c r="D75" s="16">
        <v>18765155</v>
      </c>
      <c r="E75" s="16">
        <v>17680515</v>
      </c>
      <c r="F75" s="16">
        <v>1084640</v>
      </c>
      <c r="G75" s="16">
        <v>22917818</v>
      </c>
      <c r="H75" s="16">
        <v>15905932</v>
      </c>
      <c r="I75" s="16">
        <v>7011886</v>
      </c>
      <c r="J75" s="16">
        <v>6702516</v>
      </c>
      <c r="K75" s="16">
        <v>309370</v>
      </c>
      <c r="L75" s="16">
        <v>10653857</v>
      </c>
      <c r="M75" s="16">
        <v>7164940</v>
      </c>
      <c r="N75" s="16">
        <v>3488917</v>
      </c>
      <c r="O75" s="16">
        <v>3255556</v>
      </c>
      <c r="P75" s="16">
        <v>233361</v>
      </c>
      <c r="Q75" s="16">
        <v>10561718</v>
      </c>
      <c r="R75" s="16">
        <v>7223393</v>
      </c>
      <c r="S75" s="16">
        <v>3338325</v>
      </c>
      <c r="T75" s="16">
        <v>3104014</v>
      </c>
      <c r="U75" s="16">
        <v>234311</v>
      </c>
      <c r="V75" s="16">
        <v>1829999</v>
      </c>
      <c r="W75" s="16">
        <v>1250393</v>
      </c>
      <c r="X75" s="16">
        <v>579606</v>
      </c>
      <c r="Y75" s="16">
        <v>538268</v>
      </c>
      <c r="Z75" s="16">
        <v>41338</v>
      </c>
      <c r="AA75" s="16">
        <v>12920595</v>
      </c>
      <c r="AB75" s="16">
        <v>8574174</v>
      </c>
      <c r="AC75" s="16">
        <v>4346421</v>
      </c>
      <c r="AD75" s="16">
        <v>4080161</v>
      </c>
      <c r="AE75" s="16">
        <v>266260</v>
      </c>
      <c r="AF75" s="5"/>
      <c r="AG75" s="5"/>
      <c r="AH75" s="5"/>
      <c r="AI75" s="5"/>
      <c r="AJ75" s="5"/>
    </row>
    <row r="76" spans="1:36" ht="13.5" customHeight="1" x14ac:dyDescent="0.2">
      <c r="A76" s="26">
        <v>42339</v>
      </c>
      <c r="B76" s="16">
        <v>56333126</v>
      </c>
      <c r="C76" s="16">
        <v>40053756</v>
      </c>
      <c r="D76" s="16">
        <v>16279370</v>
      </c>
      <c r="E76" s="16">
        <v>15253359</v>
      </c>
      <c r="F76" s="16">
        <v>1026011</v>
      </c>
      <c r="G76" s="16">
        <v>21771983</v>
      </c>
      <c r="H76" s="16">
        <v>15870771</v>
      </c>
      <c r="I76" s="16">
        <v>5901212</v>
      </c>
      <c r="J76" s="16">
        <v>5610974</v>
      </c>
      <c r="K76" s="16">
        <v>290238</v>
      </c>
      <c r="L76" s="16">
        <v>10164552</v>
      </c>
      <c r="M76" s="16">
        <v>7176134</v>
      </c>
      <c r="N76" s="16">
        <v>2988418</v>
      </c>
      <c r="O76" s="16">
        <v>2770967</v>
      </c>
      <c r="P76" s="16">
        <v>217451</v>
      </c>
      <c r="Q76" s="16">
        <v>10288292</v>
      </c>
      <c r="R76" s="16">
        <v>7213439</v>
      </c>
      <c r="S76" s="16">
        <v>3074853</v>
      </c>
      <c r="T76" s="16">
        <v>2848963</v>
      </c>
      <c r="U76" s="16">
        <v>225890</v>
      </c>
      <c r="V76" s="16">
        <v>1783475</v>
      </c>
      <c r="W76" s="16">
        <v>1254027</v>
      </c>
      <c r="X76" s="16">
        <v>529448</v>
      </c>
      <c r="Y76" s="16">
        <v>487775</v>
      </c>
      <c r="Z76" s="16">
        <v>41673</v>
      </c>
      <c r="AA76" s="16">
        <v>12324824</v>
      </c>
      <c r="AB76" s="16">
        <v>8539385</v>
      </c>
      <c r="AC76" s="16">
        <v>3785439</v>
      </c>
      <c r="AD76" s="16">
        <v>3534680</v>
      </c>
      <c r="AE76" s="16">
        <v>250759</v>
      </c>
      <c r="AF76" s="5"/>
      <c r="AG76" s="5"/>
      <c r="AH76" s="5"/>
      <c r="AI76" s="5"/>
      <c r="AJ76" s="5"/>
    </row>
    <row r="77" spans="1:36" ht="13.5" customHeight="1" x14ac:dyDescent="0.2">
      <c r="A77" s="26">
        <v>42370</v>
      </c>
      <c r="B77" s="16">
        <v>48265594</v>
      </c>
      <c r="C77" s="16">
        <v>35238469</v>
      </c>
      <c r="D77" s="16">
        <v>13027125</v>
      </c>
      <c r="E77" s="16">
        <v>12245663</v>
      </c>
      <c r="F77" s="16">
        <v>781462</v>
      </c>
      <c r="G77" s="16">
        <v>18826571</v>
      </c>
      <c r="H77" s="16">
        <v>14149170</v>
      </c>
      <c r="I77" s="16">
        <v>4677401</v>
      </c>
      <c r="J77" s="16">
        <v>4460478</v>
      </c>
      <c r="K77" s="16">
        <v>216923</v>
      </c>
      <c r="L77" s="16">
        <v>8623169</v>
      </c>
      <c r="M77" s="16">
        <v>6248475</v>
      </c>
      <c r="N77" s="16">
        <v>2374694</v>
      </c>
      <c r="O77" s="16">
        <v>2214436</v>
      </c>
      <c r="P77" s="16">
        <v>160258</v>
      </c>
      <c r="Q77" s="16">
        <v>8816865</v>
      </c>
      <c r="R77" s="16">
        <v>6276649</v>
      </c>
      <c r="S77" s="16">
        <v>2540216</v>
      </c>
      <c r="T77" s="16">
        <v>2354376</v>
      </c>
      <c r="U77" s="16">
        <v>185840</v>
      </c>
      <c r="V77" s="16">
        <v>1511321</v>
      </c>
      <c r="W77" s="16">
        <v>1081145</v>
      </c>
      <c r="X77" s="16">
        <v>430176</v>
      </c>
      <c r="Y77" s="16">
        <v>395963</v>
      </c>
      <c r="Z77" s="16">
        <v>34213</v>
      </c>
      <c r="AA77" s="16">
        <v>10487668</v>
      </c>
      <c r="AB77" s="16">
        <v>7483030</v>
      </c>
      <c r="AC77" s="16">
        <v>3004638</v>
      </c>
      <c r="AD77" s="16">
        <v>2820410</v>
      </c>
      <c r="AE77" s="16">
        <v>184228</v>
      </c>
      <c r="AF77" s="5"/>
      <c r="AG77" s="5"/>
      <c r="AH77" s="5"/>
      <c r="AI77" s="5"/>
      <c r="AJ77" s="5"/>
    </row>
    <row r="78" spans="1:36" ht="13.5" customHeight="1" x14ac:dyDescent="0.2">
      <c r="A78" s="26">
        <v>42401</v>
      </c>
      <c r="B78" s="16">
        <v>41465640</v>
      </c>
      <c r="C78" s="16">
        <v>30860448</v>
      </c>
      <c r="D78" s="16">
        <v>10605192</v>
      </c>
      <c r="E78" s="16">
        <v>9931201</v>
      </c>
      <c r="F78" s="16">
        <v>673991</v>
      </c>
      <c r="G78" s="16">
        <v>16050349</v>
      </c>
      <c r="H78" s="16">
        <v>12322514</v>
      </c>
      <c r="I78" s="16">
        <v>3727835</v>
      </c>
      <c r="J78" s="16">
        <v>3538650</v>
      </c>
      <c r="K78" s="16">
        <v>189185</v>
      </c>
      <c r="L78" s="16">
        <v>7450595</v>
      </c>
      <c r="M78" s="16">
        <v>5542483</v>
      </c>
      <c r="N78" s="16">
        <v>1908112</v>
      </c>
      <c r="O78" s="16">
        <v>1773818</v>
      </c>
      <c r="P78" s="16">
        <v>134294</v>
      </c>
      <c r="Q78" s="16">
        <v>7627694</v>
      </c>
      <c r="R78" s="16">
        <v>5487580</v>
      </c>
      <c r="S78" s="16">
        <v>2140114</v>
      </c>
      <c r="T78" s="16">
        <v>1976280</v>
      </c>
      <c r="U78" s="16">
        <v>163834</v>
      </c>
      <c r="V78" s="16">
        <v>1332080</v>
      </c>
      <c r="W78" s="16">
        <v>964232</v>
      </c>
      <c r="X78" s="16">
        <v>367848</v>
      </c>
      <c r="Y78" s="16">
        <v>336707</v>
      </c>
      <c r="Z78" s="16">
        <v>31141</v>
      </c>
      <c r="AA78" s="16">
        <v>9004922</v>
      </c>
      <c r="AB78" s="16">
        <v>6543639</v>
      </c>
      <c r="AC78" s="16">
        <v>2461283</v>
      </c>
      <c r="AD78" s="16">
        <v>2305746</v>
      </c>
      <c r="AE78" s="16">
        <v>155537</v>
      </c>
      <c r="AF78" s="5"/>
      <c r="AG78" s="5"/>
      <c r="AH78" s="5"/>
      <c r="AI78" s="5"/>
      <c r="AJ78" s="5"/>
    </row>
    <row r="79" spans="1:36" ht="13.5" customHeight="1" x14ac:dyDescent="0.2">
      <c r="A79" s="26">
        <v>42430</v>
      </c>
      <c r="B79" s="16">
        <v>57555775</v>
      </c>
      <c r="C79" s="16">
        <v>38954238</v>
      </c>
      <c r="D79" s="16">
        <v>18601537</v>
      </c>
      <c r="E79" s="16">
        <v>17458245</v>
      </c>
      <c r="F79" s="16">
        <v>1143292</v>
      </c>
      <c r="G79" s="16">
        <v>22570596</v>
      </c>
      <c r="H79" s="16">
        <v>15626511</v>
      </c>
      <c r="I79" s="16">
        <v>6944085</v>
      </c>
      <c r="J79" s="16">
        <v>6619051</v>
      </c>
      <c r="K79" s="16">
        <v>325034</v>
      </c>
      <c r="L79" s="16">
        <v>10149302</v>
      </c>
      <c r="M79" s="16">
        <v>6788595</v>
      </c>
      <c r="N79" s="16">
        <v>3360707</v>
      </c>
      <c r="O79" s="16">
        <v>3113031</v>
      </c>
      <c r="P79" s="16">
        <v>247676</v>
      </c>
      <c r="Q79" s="16">
        <v>10425872</v>
      </c>
      <c r="R79" s="16">
        <v>7043604</v>
      </c>
      <c r="S79" s="16">
        <v>3382268</v>
      </c>
      <c r="T79" s="16">
        <v>3137199</v>
      </c>
      <c r="U79" s="16">
        <v>245069</v>
      </c>
      <c r="V79" s="16">
        <v>1787875</v>
      </c>
      <c r="W79" s="16">
        <v>1201142</v>
      </c>
      <c r="X79" s="16">
        <v>586733</v>
      </c>
      <c r="Y79" s="16">
        <v>541744</v>
      </c>
      <c r="Z79" s="16">
        <v>44989</v>
      </c>
      <c r="AA79" s="16">
        <v>12622130</v>
      </c>
      <c r="AB79" s="16">
        <v>8294386</v>
      </c>
      <c r="AC79" s="16">
        <v>4327744</v>
      </c>
      <c r="AD79" s="16">
        <v>4047220</v>
      </c>
      <c r="AE79" s="16">
        <v>280524</v>
      </c>
      <c r="AF79" s="5"/>
      <c r="AG79" s="5"/>
      <c r="AH79" s="5"/>
      <c r="AI79" s="5"/>
      <c r="AJ79" s="5"/>
    </row>
    <row r="80" spans="1:36" ht="13.5" customHeight="1" x14ac:dyDescent="0.2">
      <c r="A80" s="26">
        <v>42461</v>
      </c>
      <c r="B80" s="16">
        <v>58650858</v>
      </c>
      <c r="C80" s="16">
        <v>38324418</v>
      </c>
      <c r="D80" s="16">
        <v>20326440</v>
      </c>
      <c r="E80" s="16">
        <v>19153668</v>
      </c>
      <c r="F80" s="16">
        <v>1172772</v>
      </c>
      <c r="G80" s="16">
        <v>23060840</v>
      </c>
      <c r="H80" s="16">
        <v>15346310</v>
      </c>
      <c r="I80" s="16">
        <v>7714530</v>
      </c>
      <c r="J80" s="16">
        <v>7374259</v>
      </c>
      <c r="K80" s="16">
        <v>340271</v>
      </c>
      <c r="L80" s="16">
        <v>10448988</v>
      </c>
      <c r="M80" s="16">
        <v>6757549</v>
      </c>
      <c r="N80" s="16">
        <v>3691439</v>
      </c>
      <c r="O80" s="16">
        <v>3438489</v>
      </c>
      <c r="P80" s="16">
        <v>252950</v>
      </c>
      <c r="Q80" s="16">
        <v>10474050</v>
      </c>
      <c r="R80" s="16">
        <v>6876510</v>
      </c>
      <c r="S80" s="16">
        <v>3597540</v>
      </c>
      <c r="T80" s="16">
        <v>3349679</v>
      </c>
      <c r="U80" s="16">
        <v>247861</v>
      </c>
      <c r="V80" s="16">
        <v>1803901</v>
      </c>
      <c r="W80" s="16">
        <v>1171635</v>
      </c>
      <c r="X80" s="16">
        <v>632266</v>
      </c>
      <c r="Y80" s="16">
        <v>586056</v>
      </c>
      <c r="Z80" s="16">
        <v>46210</v>
      </c>
      <c r="AA80" s="16">
        <v>12863079</v>
      </c>
      <c r="AB80" s="16">
        <v>8172414</v>
      </c>
      <c r="AC80" s="16">
        <v>4690665</v>
      </c>
      <c r="AD80" s="16">
        <v>4405185</v>
      </c>
      <c r="AE80" s="16">
        <v>285480</v>
      </c>
      <c r="AF80" s="5"/>
      <c r="AG80" s="5"/>
      <c r="AH80" s="5"/>
      <c r="AI80" s="5"/>
      <c r="AJ80" s="5"/>
    </row>
    <row r="81" spans="1:36" ht="13.5" customHeight="1" x14ac:dyDescent="0.2">
      <c r="A81" s="26">
        <v>42491</v>
      </c>
      <c r="B81" s="16">
        <v>60916665</v>
      </c>
      <c r="C81" s="16">
        <v>39420562</v>
      </c>
      <c r="D81" s="16">
        <v>21496103</v>
      </c>
      <c r="E81" s="16">
        <v>20191383</v>
      </c>
      <c r="F81" s="16">
        <v>1304720</v>
      </c>
      <c r="G81" s="16">
        <v>23816500</v>
      </c>
      <c r="H81" s="16">
        <v>15743158</v>
      </c>
      <c r="I81" s="16">
        <v>8073342</v>
      </c>
      <c r="J81" s="16">
        <v>7705310</v>
      </c>
      <c r="K81" s="16">
        <v>368032</v>
      </c>
      <c r="L81" s="16">
        <v>10935762</v>
      </c>
      <c r="M81" s="16">
        <v>6986215</v>
      </c>
      <c r="N81" s="16">
        <v>3949547</v>
      </c>
      <c r="O81" s="16">
        <v>3668161</v>
      </c>
      <c r="P81" s="16">
        <v>281386</v>
      </c>
      <c r="Q81" s="16">
        <v>10893257</v>
      </c>
      <c r="R81" s="16">
        <v>7076216</v>
      </c>
      <c r="S81" s="16">
        <v>3817041</v>
      </c>
      <c r="T81" s="16">
        <v>3533784</v>
      </c>
      <c r="U81" s="16">
        <v>283257</v>
      </c>
      <c r="V81" s="16">
        <v>1874720</v>
      </c>
      <c r="W81" s="16">
        <v>1202978</v>
      </c>
      <c r="X81" s="16">
        <v>671742</v>
      </c>
      <c r="Y81" s="16">
        <v>618967</v>
      </c>
      <c r="Z81" s="16">
        <v>52775</v>
      </c>
      <c r="AA81" s="16">
        <v>13396426</v>
      </c>
      <c r="AB81" s="16">
        <v>8411995</v>
      </c>
      <c r="AC81" s="16">
        <v>4984431</v>
      </c>
      <c r="AD81" s="16">
        <v>4665161</v>
      </c>
      <c r="AE81" s="16">
        <v>319270</v>
      </c>
      <c r="AF81" s="5"/>
      <c r="AG81" s="5"/>
      <c r="AH81" s="5"/>
      <c r="AI81" s="5"/>
      <c r="AJ81" s="5"/>
    </row>
    <row r="82" spans="1:36" ht="13.5" customHeight="1" x14ac:dyDescent="0.2">
      <c r="A82" s="26">
        <v>42522</v>
      </c>
      <c r="B82" s="16">
        <v>56493566</v>
      </c>
      <c r="C82" s="16">
        <v>40526199</v>
      </c>
      <c r="D82" s="16">
        <v>15967367</v>
      </c>
      <c r="E82" s="16">
        <v>15008539</v>
      </c>
      <c r="F82" s="16">
        <v>958828</v>
      </c>
      <c r="G82" s="16">
        <v>21550652</v>
      </c>
      <c r="H82" s="16">
        <v>15758116</v>
      </c>
      <c r="I82" s="16">
        <v>5792536</v>
      </c>
      <c r="J82" s="16">
        <v>5528022</v>
      </c>
      <c r="K82" s="16">
        <v>264514</v>
      </c>
      <c r="L82" s="16">
        <v>10160631</v>
      </c>
      <c r="M82" s="17">
        <v>7247999</v>
      </c>
      <c r="N82" s="17">
        <v>2912632</v>
      </c>
      <c r="O82" s="17">
        <v>2708864</v>
      </c>
      <c r="P82" s="17">
        <v>203768</v>
      </c>
      <c r="Q82" s="16">
        <v>10325628</v>
      </c>
      <c r="R82" s="16">
        <v>7398042</v>
      </c>
      <c r="S82" s="16">
        <v>2927586</v>
      </c>
      <c r="T82" s="16">
        <v>2710089</v>
      </c>
      <c r="U82" s="16">
        <v>217497</v>
      </c>
      <c r="V82" s="16">
        <v>1771526</v>
      </c>
      <c r="W82" s="16">
        <v>1261641</v>
      </c>
      <c r="X82" s="16">
        <v>509885</v>
      </c>
      <c r="Y82" s="16">
        <v>468886</v>
      </c>
      <c r="Z82" s="16">
        <v>40999</v>
      </c>
      <c r="AA82" s="16">
        <v>12685129</v>
      </c>
      <c r="AB82" s="17">
        <v>8860401</v>
      </c>
      <c r="AC82" s="17">
        <v>3824728</v>
      </c>
      <c r="AD82" s="17">
        <v>3592678</v>
      </c>
      <c r="AE82" s="17">
        <v>232050</v>
      </c>
      <c r="AF82" s="5"/>
      <c r="AG82" s="5"/>
      <c r="AH82" s="5"/>
      <c r="AI82" s="5"/>
      <c r="AJ82" s="5"/>
    </row>
    <row r="83" spans="1:36" ht="13.5" customHeight="1" x14ac:dyDescent="0.2">
      <c r="A83" s="26">
        <v>42552</v>
      </c>
      <c r="B83" s="16">
        <v>55126778</v>
      </c>
      <c r="C83" s="16">
        <v>40523528</v>
      </c>
      <c r="D83" s="16">
        <v>14603250</v>
      </c>
      <c r="E83" s="16">
        <v>13573010</v>
      </c>
      <c r="F83" s="16">
        <v>1030240</v>
      </c>
      <c r="G83" s="16">
        <v>21401700</v>
      </c>
      <c r="H83" s="16">
        <v>16173555</v>
      </c>
      <c r="I83" s="16">
        <v>5228145</v>
      </c>
      <c r="J83" s="16">
        <v>4935449</v>
      </c>
      <c r="K83" s="16">
        <v>292696</v>
      </c>
      <c r="L83" s="16">
        <v>9960437</v>
      </c>
      <c r="M83" s="16">
        <v>7253169</v>
      </c>
      <c r="N83" s="16">
        <v>2707268</v>
      </c>
      <c r="O83" s="16">
        <v>2495615</v>
      </c>
      <c r="P83" s="16">
        <v>211653</v>
      </c>
      <c r="Q83" s="16">
        <v>9928927</v>
      </c>
      <c r="R83" s="16">
        <v>7148392</v>
      </c>
      <c r="S83" s="16">
        <v>2780535</v>
      </c>
      <c r="T83" s="16">
        <v>2543482</v>
      </c>
      <c r="U83" s="16">
        <v>237053</v>
      </c>
      <c r="V83" s="16">
        <v>1713361</v>
      </c>
      <c r="W83" s="16">
        <v>1231051</v>
      </c>
      <c r="X83" s="16">
        <v>482310</v>
      </c>
      <c r="Y83" s="16">
        <v>436076</v>
      </c>
      <c r="Z83" s="16">
        <v>46234</v>
      </c>
      <c r="AA83" s="16">
        <v>12122353</v>
      </c>
      <c r="AB83" s="16">
        <v>8717361</v>
      </c>
      <c r="AC83" s="16">
        <v>3404992</v>
      </c>
      <c r="AD83" s="16">
        <v>3162388</v>
      </c>
      <c r="AE83" s="16">
        <v>242604</v>
      </c>
      <c r="AF83" s="5"/>
      <c r="AG83" s="5"/>
      <c r="AH83" s="5"/>
      <c r="AI83" s="5"/>
      <c r="AJ83" s="5"/>
    </row>
    <row r="84" spans="1:36" ht="13.5" customHeight="1" x14ac:dyDescent="0.2">
      <c r="A84" s="26">
        <v>42583</v>
      </c>
      <c r="B84" s="16">
        <v>60438297</v>
      </c>
      <c r="C84" s="16">
        <v>41920759</v>
      </c>
      <c r="D84" s="16">
        <v>18517538</v>
      </c>
      <c r="E84" s="16">
        <v>17241529</v>
      </c>
      <c r="F84" s="16">
        <v>1276009</v>
      </c>
      <c r="G84" s="16">
        <v>23393265</v>
      </c>
      <c r="H84" s="16">
        <v>16649497</v>
      </c>
      <c r="I84" s="16">
        <v>6743768</v>
      </c>
      <c r="J84" s="16">
        <v>6377614</v>
      </c>
      <c r="K84" s="16">
        <v>366154</v>
      </c>
      <c r="L84" s="16">
        <v>10912737</v>
      </c>
      <c r="M84" s="16">
        <v>7495879</v>
      </c>
      <c r="N84" s="16">
        <v>3416858</v>
      </c>
      <c r="O84" s="16">
        <v>3147105</v>
      </c>
      <c r="P84" s="16">
        <v>269753</v>
      </c>
      <c r="Q84" s="16">
        <v>10845705</v>
      </c>
      <c r="R84" s="16">
        <v>7477959</v>
      </c>
      <c r="S84" s="16">
        <v>3367746</v>
      </c>
      <c r="T84" s="16">
        <v>3086751</v>
      </c>
      <c r="U84" s="16">
        <v>280995</v>
      </c>
      <c r="V84" s="16">
        <v>1875255</v>
      </c>
      <c r="W84" s="16">
        <v>1284464</v>
      </c>
      <c r="X84" s="16">
        <v>590791</v>
      </c>
      <c r="Y84" s="16">
        <v>537640</v>
      </c>
      <c r="Z84" s="16">
        <v>53151</v>
      </c>
      <c r="AA84" s="16">
        <v>13411335</v>
      </c>
      <c r="AB84" s="16">
        <v>9012960</v>
      </c>
      <c r="AC84" s="16">
        <v>4398375</v>
      </c>
      <c r="AD84" s="16">
        <v>4092419</v>
      </c>
      <c r="AE84" s="16">
        <v>305956</v>
      </c>
      <c r="AF84" s="5"/>
      <c r="AG84" s="5"/>
      <c r="AH84" s="5"/>
      <c r="AI84" s="5"/>
      <c r="AJ84" s="5"/>
    </row>
    <row r="85" spans="1:36" ht="13.5" customHeight="1" x14ac:dyDescent="0.2">
      <c r="A85" s="26">
        <v>42614</v>
      </c>
      <c r="B85" s="16">
        <v>57651951</v>
      </c>
      <c r="C85" s="16">
        <v>39682676</v>
      </c>
      <c r="D85" s="16">
        <v>17969275</v>
      </c>
      <c r="E85" s="16">
        <v>16739386</v>
      </c>
      <c r="F85" s="16">
        <v>1229889</v>
      </c>
      <c r="G85" s="16">
        <v>22292964</v>
      </c>
      <c r="H85" s="16">
        <v>15700212</v>
      </c>
      <c r="I85" s="16">
        <v>6592752</v>
      </c>
      <c r="J85" s="16">
        <v>6234439</v>
      </c>
      <c r="K85" s="16">
        <v>358313</v>
      </c>
      <c r="L85" s="16">
        <v>10607799</v>
      </c>
      <c r="M85" s="16">
        <v>7251142</v>
      </c>
      <c r="N85" s="16">
        <v>3356657</v>
      </c>
      <c r="O85" s="16">
        <v>3095232</v>
      </c>
      <c r="P85" s="16">
        <v>261425</v>
      </c>
      <c r="Q85" s="16">
        <v>10254242</v>
      </c>
      <c r="R85" s="16">
        <v>7025197</v>
      </c>
      <c r="S85" s="16">
        <v>3229045</v>
      </c>
      <c r="T85" s="16">
        <v>2961536</v>
      </c>
      <c r="U85" s="16">
        <v>267509</v>
      </c>
      <c r="V85" s="16">
        <v>1786354</v>
      </c>
      <c r="W85" s="16">
        <v>1216399</v>
      </c>
      <c r="X85" s="16">
        <v>569955</v>
      </c>
      <c r="Y85" s="16">
        <v>519721</v>
      </c>
      <c r="Z85" s="16">
        <v>50234</v>
      </c>
      <c r="AA85" s="16">
        <v>12710592</v>
      </c>
      <c r="AB85" s="16">
        <v>8489726</v>
      </c>
      <c r="AC85" s="16">
        <v>4220866</v>
      </c>
      <c r="AD85" s="16">
        <v>3928458</v>
      </c>
      <c r="AE85" s="16">
        <v>292408</v>
      </c>
      <c r="AF85" s="5"/>
      <c r="AG85" s="5"/>
      <c r="AH85" s="5"/>
      <c r="AI85" s="5"/>
      <c r="AJ85" s="5"/>
    </row>
    <row r="86" spans="1:36" ht="13.5" customHeight="1" x14ac:dyDescent="0.2">
      <c r="A86" s="26">
        <v>42644</v>
      </c>
      <c r="B86" s="16">
        <v>56906489</v>
      </c>
      <c r="C86" s="16">
        <v>38989751</v>
      </c>
      <c r="D86" s="16">
        <v>17916738</v>
      </c>
      <c r="E86" s="16">
        <v>16704316</v>
      </c>
      <c r="F86" s="16">
        <v>1212422</v>
      </c>
      <c r="G86" s="16">
        <v>22222204</v>
      </c>
      <c r="H86" s="16">
        <v>15563165</v>
      </c>
      <c r="I86" s="16">
        <v>6659039</v>
      </c>
      <c r="J86" s="16">
        <v>6306157</v>
      </c>
      <c r="K86" s="16">
        <v>352882</v>
      </c>
      <c r="L86" s="16">
        <v>10489538</v>
      </c>
      <c r="M86" s="16">
        <v>7120927</v>
      </c>
      <c r="N86" s="16">
        <v>3368611</v>
      </c>
      <c r="O86" s="16">
        <v>3109428</v>
      </c>
      <c r="P86" s="16">
        <v>259183</v>
      </c>
      <c r="Q86" s="16">
        <v>10011800</v>
      </c>
      <c r="R86" s="16">
        <v>6810092</v>
      </c>
      <c r="S86" s="16">
        <v>3201708</v>
      </c>
      <c r="T86" s="16">
        <v>2936213</v>
      </c>
      <c r="U86" s="16">
        <v>265495</v>
      </c>
      <c r="V86" s="16">
        <v>1753107</v>
      </c>
      <c r="W86" s="16">
        <v>1186069</v>
      </c>
      <c r="X86" s="16">
        <v>567038</v>
      </c>
      <c r="Y86" s="16">
        <v>516892</v>
      </c>
      <c r="Z86" s="16">
        <v>50146</v>
      </c>
      <c r="AA86" s="16">
        <v>12429840</v>
      </c>
      <c r="AB86" s="16">
        <v>8309498</v>
      </c>
      <c r="AC86" s="16">
        <v>4120342</v>
      </c>
      <c r="AD86" s="16">
        <v>3835626</v>
      </c>
      <c r="AE86" s="16">
        <v>284716</v>
      </c>
      <c r="AF86" s="5"/>
      <c r="AG86" s="5"/>
      <c r="AH86" s="5"/>
      <c r="AI86" s="5"/>
      <c r="AJ86" s="5"/>
    </row>
    <row r="87" spans="1:36" ht="13.5" customHeight="1" x14ac:dyDescent="0.2">
      <c r="A87" s="26">
        <v>42675</v>
      </c>
      <c r="B87" s="16">
        <v>58827334</v>
      </c>
      <c r="C87" s="16">
        <v>40386122</v>
      </c>
      <c r="D87" s="16">
        <v>18441212</v>
      </c>
      <c r="E87" s="16">
        <v>17170830</v>
      </c>
      <c r="F87" s="16">
        <v>1270382</v>
      </c>
      <c r="G87" s="16">
        <v>23202987</v>
      </c>
      <c r="H87" s="16">
        <v>16302102</v>
      </c>
      <c r="I87" s="16">
        <v>6900885</v>
      </c>
      <c r="J87" s="16">
        <v>6529611</v>
      </c>
      <c r="K87" s="16">
        <v>371274</v>
      </c>
      <c r="L87" s="16">
        <v>10683236</v>
      </c>
      <c r="M87" s="16">
        <v>7252458</v>
      </c>
      <c r="N87" s="16">
        <v>3430778</v>
      </c>
      <c r="O87" s="16">
        <v>3162412</v>
      </c>
      <c r="P87" s="16">
        <v>268366</v>
      </c>
      <c r="Q87" s="16">
        <v>10344605</v>
      </c>
      <c r="R87" s="16">
        <v>7040203</v>
      </c>
      <c r="S87" s="16">
        <v>3304402</v>
      </c>
      <c r="T87" s="16">
        <v>3025789</v>
      </c>
      <c r="U87" s="16">
        <v>278613</v>
      </c>
      <c r="V87" s="16">
        <v>1797847</v>
      </c>
      <c r="W87" s="16">
        <v>1215705</v>
      </c>
      <c r="X87" s="16">
        <v>582142</v>
      </c>
      <c r="Y87" s="16">
        <v>529154</v>
      </c>
      <c r="Z87" s="16">
        <v>52988</v>
      </c>
      <c r="AA87" s="16">
        <v>12798659</v>
      </c>
      <c r="AB87" s="16">
        <v>8575654</v>
      </c>
      <c r="AC87" s="16">
        <v>4223005</v>
      </c>
      <c r="AD87" s="16">
        <v>3923864</v>
      </c>
      <c r="AE87" s="16">
        <v>299141</v>
      </c>
      <c r="AF87" s="5"/>
      <c r="AG87" s="5"/>
      <c r="AH87" s="5"/>
      <c r="AI87" s="5"/>
      <c r="AJ87" s="5"/>
    </row>
    <row r="88" spans="1:36" ht="13.5" customHeight="1" x14ac:dyDescent="0.2">
      <c r="A88" s="26">
        <v>42705</v>
      </c>
      <c r="B88" s="16">
        <v>57774180</v>
      </c>
      <c r="C88" s="16">
        <v>41350151</v>
      </c>
      <c r="D88" s="16">
        <v>16424029</v>
      </c>
      <c r="E88" s="16">
        <v>15160661</v>
      </c>
      <c r="F88" s="16">
        <v>1263368</v>
      </c>
      <c r="G88" s="16">
        <v>22604763</v>
      </c>
      <c r="H88" s="16">
        <v>16610452</v>
      </c>
      <c r="I88" s="16">
        <v>5994311</v>
      </c>
      <c r="J88" s="16">
        <v>5619907</v>
      </c>
      <c r="K88" s="16">
        <v>374404</v>
      </c>
      <c r="L88" s="16">
        <v>10679809</v>
      </c>
      <c r="M88" s="16">
        <v>7582829</v>
      </c>
      <c r="N88" s="16">
        <v>3096980</v>
      </c>
      <c r="O88" s="16">
        <v>2831321</v>
      </c>
      <c r="P88" s="16">
        <v>265659</v>
      </c>
      <c r="Q88" s="16">
        <v>10287669</v>
      </c>
      <c r="R88" s="16">
        <v>7188383</v>
      </c>
      <c r="S88" s="16">
        <v>3099286</v>
      </c>
      <c r="T88" s="16">
        <v>2824164</v>
      </c>
      <c r="U88" s="16">
        <v>275122</v>
      </c>
      <c r="V88" s="16">
        <v>1796087</v>
      </c>
      <c r="W88" s="16">
        <v>1253045</v>
      </c>
      <c r="X88" s="16">
        <v>543042</v>
      </c>
      <c r="Y88" s="16">
        <v>489206</v>
      </c>
      <c r="Z88" s="16">
        <v>53836</v>
      </c>
      <c r="AA88" s="16">
        <v>12405852</v>
      </c>
      <c r="AB88" s="16">
        <v>8715442</v>
      </c>
      <c r="AC88" s="16">
        <v>3690410</v>
      </c>
      <c r="AD88" s="16">
        <v>3396063</v>
      </c>
      <c r="AE88" s="16">
        <v>294347</v>
      </c>
      <c r="AF88" s="5"/>
      <c r="AG88" s="5"/>
      <c r="AH88" s="5"/>
      <c r="AI88" s="5"/>
      <c r="AJ88" s="5"/>
    </row>
    <row r="89" spans="1:36" ht="13.5" customHeight="1" x14ac:dyDescent="0.2">
      <c r="A89" s="26">
        <v>42736</v>
      </c>
      <c r="B89" s="16">
        <v>49506205</v>
      </c>
      <c r="C89" s="16">
        <v>36526155</v>
      </c>
      <c r="D89" s="16">
        <v>12980050</v>
      </c>
      <c r="E89" s="16">
        <v>11981317</v>
      </c>
      <c r="F89" s="16">
        <v>998733</v>
      </c>
      <c r="G89" s="16">
        <v>19599558</v>
      </c>
      <c r="H89" s="16">
        <v>14946025</v>
      </c>
      <c r="I89" s="16">
        <v>4653533</v>
      </c>
      <c r="J89" s="16">
        <v>4356510</v>
      </c>
      <c r="K89" s="16">
        <v>297023</v>
      </c>
      <c r="L89" s="16">
        <v>8970823</v>
      </c>
      <c r="M89" s="16">
        <v>6589981</v>
      </c>
      <c r="N89" s="16">
        <v>2380842</v>
      </c>
      <c r="O89" s="16">
        <v>2179777</v>
      </c>
      <c r="P89" s="16">
        <v>201065</v>
      </c>
      <c r="Q89" s="16">
        <v>8788226</v>
      </c>
      <c r="R89" s="16">
        <v>6254942</v>
      </c>
      <c r="S89" s="16">
        <v>2533284</v>
      </c>
      <c r="T89" s="16">
        <v>2304567</v>
      </c>
      <c r="U89" s="16">
        <v>228717</v>
      </c>
      <c r="V89" s="16">
        <v>1517915</v>
      </c>
      <c r="W89" s="16">
        <v>1078496</v>
      </c>
      <c r="X89" s="16">
        <v>439419</v>
      </c>
      <c r="Y89" s="16">
        <v>395492</v>
      </c>
      <c r="Z89" s="16">
        <v>43927</v>
      </c>
      <c r="AA89" s="16">
        <v>10629683</v>
      </c>
      <c r="AB89" s="16">
        <v>7656711</v>
      </c>
      <c r="AC89" s="16">
        <v>2972972</v>
      </c>
      <c r="AD89" s="16">
        <v>2744971</v>
      </c>
      <c r="AE89" s="16">
        <v>228001</v>
      </c>
      <c r="AF89" s="5"/>
      <c r="AG89" s="5"/>
      <c r="AH89" s="5"/>
      <c r="AI89" s="5"/>
      <c r="AJ89" s="5"/>
    </row>
    <row r="90" spans="1:36" ht="13.5" customHeight="1" x14ac:dyDescent="0.2">
      <c r="A90" s="26">
        <v>42767</v>
      </c>
      <c r="B90" s="16">
        <v>40285403</v>
      </c>
      <c r="C90" s="16">
        <v>30311929</v>
      </c>
      <c r="D90" s="16">
        <v>9973474</v>
      </c>
      <c r="E90" s="16">
        <v>9187891</v>
      </c>
      <c r="F90" s="16">
        <v>785583</v>
      </c>
      <c r="G90" s="16">
        <v>15871048</v>
      </c>
      <c r="H90" s="16">
        <v>12357658</v>
      </c>
      <c r="I90" s="16">
        <v>3513390</v>
      </c>
      <c r="J90" s="16">
        <v>3285033</v>
      </c>
      <c r="K90" s="16">
        <v>228357</v>
      </c>
      <c r="L90" s="16">
        <v>7382773</v>
      </c>
      <c r="M90" s="16">
        <v>5574093</v>
      </c>
      <c r="N90" s="16">
        <v>1808680</v>
      </c>
      <c r="O90" s="16">
        <v>1654379</v>
      </c>
      <c r="P90" s="16">
        <v>154301</v>
      </c>
      <c r="Q90" s="16">
        <v>7139143</v>
      </c>
      <c r="R90" s="16">
        <v>5129382</v>
      </c>
      <c r="S90" s="16">
        <v>2009761</v>
      </c>
      <c r="T90" s="16">
        <v>1824479</v>
      </c>
      <c r="U90" s="16">
        <v>185282</v>
      </c>
      <c r="V90" s="16">
        <v>1246836</v>
      </c>
      <c r="W90" s="16">
        <v>899941</v>
      </c>
      <c r="X90" s="16">
        <v>346895</v>
      </c>
      <c r="Y90" s="16">
        <v>310009</v>
      </c>
      <c r="Z90" s="16">
        <v>36886</v>
      </c>
      <c r="AA90" s="16">
        <v>8645603</v>
      </c>
      <c r="AB90" s="16">
        <v>6350855</v>
      </c>
      <c r="AC90" s="16">
        <v>2294748</v>
      </c>
      <c r="AD90" s="16">
        <v>2113991</v>
      </c>
      <c r="AE90" s="16">
        <v>180757</v>
      </c>
      <c r="AF90" s="5"/>
      <c r="AG90" s="5"/>
      <c r="AH90" s="5"/>
      <c r="AI90" s="5"/>
      <c r="AJ90" s="5"/>
    </row>
    <row r="91" spans="1:36" ht="13.5" customHeight="1" x14ac:dyDescent="0.2">
      <c r="A91" s="26">
        <v>42795</v>
      </c>
      <c r="B91" s="16">
        <v>61441655</v>
      </c>
      <c r="C91" s="16">
        <v>41929931</v>
      </c>
      <c r="D91" s="16">
        <v>19511724</v>
      </c>
      <c r="E91" s="16">
        <v>18096527</v>
      </c>
      <c r="F91" s="16">
        <v>1415197</v>
      </c>
      <c r="G91" s="16">
        <v>24455272</v>
      </c>
      <c r="H91" s="16">
        <v>17084783</v>
      </c>
      <c r="I91" s="16">
        <v>7370489</v>
      </c>
      <c r="J91" s="16">
        <v>6943688</v>
      </c>
      <c r="K91" s="16">
        <v>426801</v>
      </c>
      <c r="L91" s="16">
        <v>11035116</v>
      </c>
      <c r="M91" s="16">
        <v>7487986</v>
      </c>
      <c r="N91" s="16">
        <v>3547130</v>
      </c>
      <c r="O91" s="16">
        <v>3245975</v>
      </c>
      <c r="P91" s="16">
        <v>301155</v>
      </c>
      <c r="Q91" s="16">
        <v>10769072</v>
      </c>
      <c r="R91" s="16">
        <v>7269757</v>
      </c>
      <c r="S91" s="16">
        <v>3499315</v>
      </c>
      <c r="T91" s="16">
        <v>3204429</v>
      </c>
      <c r="U91" s="16">
        <v>294886</v>
      </c>
      <c r="V91" s="16">
        <v>1845654</v>
      </c>
      <c r="W91" s="16">
        <v>1235917</v>
      </c>
      <c r="X91" s="16">
        <v>609737</v>
      </c>
      <c r="Y91" s="16">
        <v>553942</v>
      </c>
      <c r="Z91" s="16">
        <v>55795</v>
      </c>
      <c r="AA91" s="16">
        <v>13336541</v>
      </c>
      <c r="AB91" s="16">
        <v>8851488</v>
      </c>
      <c r="AC91" s="16">
        <v>4485053</v>
      </c>
      <c r="AD91" s="16">
        <v>4148493</v>
      </c>
      <c r="AE91" s="16">
        <v>336560</v>
      </c>
      <c r="AF91" s="5"/>
      <c r="AG91" s="5"/>
      <c r="AH91" s="5"/>
      <c r="AI91" s="5"/>
      <c r="AJ91" s="5"/>
    </row>
    <row r="92" spans="1:36" ht="13.5" customHeight="1" x14ac:dyDescent="0.2">
      <c r="A92" s="26">
        <v>42826</v>
      </c>
      <c r="B92" s="16">
        <v>54590789</v>
      </c>
      <c r="C92" s="16">
        <v>36188110</v>
      </c>
      <c r="D92" s="16">
        <v>18402679</v>
      </c>
      <c r="E92" s="16">
        <v>17170221</v>
      </c>
      <c r="F92" s="16">
        <v>1232458</v>
      </c>
      <c r="G92" s="16">
        <v>21609635</v>
      </c>
      <c r="H92" s="16">
        <v>14613662</v>
      </c>
      <c r="I92" s="16">
        <v>6995973</v>
      </c>
      <c r="J92" s="16">
        <v>6625644</v>
      </c>
      <c r="K92" s="16">
        <v>370329</v>
      </c>
      <c r="L92" s="16">
        <v>10005979</v>
      </c>
      <c r="M92" s="16">
        <v>6603753</v>
      </c>
      <c r="N92" s="16">
        <v>3402226</v>
      </c>
      <c r="O92" s="16">
        <v>3135772</v>
      </c>
      <c r="P92" s="16">
        <v>266454</v>
      </c>
      <c r="Q92" s="16">
        <v>9487832</v>
      </c>
      <c r="R92" s="16">
        <v>6241888</v>
      </c>
      <c r="S92" s="16">
        <v>3245944</v>
      </c>
      <c r="T92" s="16">
        <v>2988231</v>
      </c>
      <c r="U92" s="16">
        <v>257713</v>
      </c>
      <c r="V92" s="16">
        <v>1636997</v>
      </c>
      <c r="W92" s="16">
        <v>1065654</v>
      </c>
      <c r="X92" s="16">
        <v>571343</v>
      </c>
      <c r="Y92" s="16">
        <v>521681</v>
      </c>
      <c r="Z92" s="16">
        <v>49662</v>
      </c>
      <c r="AA92" s="16">
        <v>11850346</v>
      </c>
      <c r="AB92" s="16">
        <v>7663153</v>
      </c>
      <c r="AC92" s="16">
        <v>4187193</v>
      </c>
      <c r="AD92" s="16">
        <v>3898893</v>
      </c>
      <c r="AE92" s="16">
        <v>288300</v>
      </c>
      <c r="AF92" s="5"/>
      <c r="AG92" s="5"/>
      <c r="AH92" s="5"/>
      <c r="AI92" s="5"/>
      <c r="AJ92" s="5"/>
    </row>
    <row r="93" spans="1:36" ht="13.5" customHeight="1" x14ac:dyDescent="0.2">
      <c r="A93" s="26">
        <v>42856</v>
      </c>
      <c r="B93" s="16">
        <v>62400404</v>
      </c>
      <c r="C93" s="16">
        <v>40860240</v>
      </c>
      <c r="D93" s="16">
        <v>21540164</v>
      </c>
      <c r="E93" s="16">
        <v>20043498</v>
      </c>
      <c r="F93" s="16">
        <v>1496666</v>
      </c>
      <c r="G93" s="16">
        <v>24932234</v>
      </c>
      <c r="H93" s="16">
        <v>16627217</v>
      </c>
      <c r="I93" s="16">
        <v>8305017</v>
      </c>
      <c r="J93" s="16">
        <v>7846409</v>
      </c>
      <c r="K93" s="16">
        <v>458608</v>
      </c>
      <c r="L93" s="16">
        <v>11220473</v>
      </c>
      <c r="M93" s="16">
        <v>7276118</v>
      </c>
      <c r="N93" s="16">
        <v>3944355</v>
      </c>
      <c r="O93" s="16">
        <v>3619347</v>
      </c>
      <c r="P93" s="16">
        <v>325008</v>
      </c>
      <c r="Q93" s="16">
        <v>10823032</v>
      </c>
      <c r="R93" s="16">
        <v>7083662</v>
      </c>
      <c r="S93" s="16">
        <v>3739370</v>
      </c>
      <c r="T93" s="16">
        <v>3430705</v>
      </c>
      <c r="U93" s="16">
        <v>308665</v>
      </c>
      <c r="V93" s="16">
        <v>1864275</v>
      </c>
      <c r="W93" s="16">
        <v>1203663</v>
      </c>
      <c r="X93" s="16">
        <v>660612</v>
      </c>
      <c r="Y93" s="16">
        <v>601978</v>
      </c>
      <c r="Z93" s="16">
        <v>58634</v>
      </c>
      <c r="AA93" s="16">
        <v>13560390</v>
      </c>
      <c r="AB93" s="16">
        <v>8669580</v>
      </c>
      <c r="AC93" s="16">
        <v>4890810</v>
      </c>
      <c r="AD93" s="16">
        <v>4545059</v>
      </c>
      <c r="AE93" s="16">
        <v>345751</v>
      </c>
      <c r="AF93" s="5"/>
      <c r="AG93" s="5"/>
      <c r="AH93" s="5"/>
      <c r="AI93" s="5"/>
      <c r="AJ93" s="5"/>
    </row>
    <row r="94" spans="1:36" ht="13.5" customHeight="1" x14ac:dyDescent="0.2">
      <c r="A94" s="26">
        <v>42887</v>
      </c>
      <c r="B94" s="16">
        <v>58478732</v>
      </c>
      <c r="C94" s="16">
        <v>41628256</v>
      </c>
      <c r="D94" s="16">
        <v>16850476</v>
      </c>
      <c r="E94" s="16">
        <v>15737846</v>
      </c>
      <c r="F94" s="16">
        <v>1112630</v>
      </c>
      <c r="G94" s="16">
        <v>23355196</v>
      </c>
      <c r="H94" s="16">
        <v>16856646</v>
      </c>
      <c r="I94" s="16">
        <v>6498550</v>
      </c>
      <c r="J94" s="16">
        <v>6157368</v>
      </c>
      <c r="K94" s="16">
        <v>341182</v>
      </c>
      <c r="L94" s="16">
        <v>10483404</v>
      </c>
      <c r="M94" s="16">
        <v>7367685</v>
      </c>
      <c r="N94" s="16">
        <v>3115719</v>
      </c>
      <c r="O94" s="16">
        <v>2877813</v>
      </c>
      <c r="P94" s="16">
        <v>237906</v>
      </c>
      <c r="Q94" s="16">
        <v>10189601</v>
      </c>
      <c r="R94" s="16">
        <v>7279243</v>
      </c>
      <c r="S94" s="16">
        <v>2910358</v>
      </c>
      <c r="T94" s="16">
        <v>2675144</v>
      </c>
      <c r="U94" s="16">
        <v>235214</v>
      </c>
      <c r="V94" s="16">
        <v>1734410</v>
      </c>
      <c r="W94" s="16">
        <v>1218922</v>
      </c>
      <c r="X94" s="16">
        <v>515488</v>
      </c>
      <c r="Y94" s="16">
        <v>470073</v>
      </c>
      <c r="Z94" s="16">
        <v>45415</v>
      </c>
      <c r="AA94" s="16">
        <v>12716121</v>
      </c>
      <c r="AB94" s="16">
        <v>8905760</v>
      </c>
      <c r="AC94" s="16">
        <v>3810361</v>
      </c>
      <c r="AD94" s="16">
        <v>3557448</v>
      </c>
      <c r="AE94" s="16">
        <v>252913</v>
      </c>
      <c r="AF94" s="5"/>
      <c r="AG94" s="5"/>
      <c r="AH94" s="5"/>
      <c r="AI94" s="5"/>
      <c r="AJ94" s="5"/>
    </row>
    <row r="95" spans="1:36" ht="13.5" customHeight="1" x14ac:dyDescent="0.2">
      <c r="A95" s="26">
        <v>42917</v>
      </c>
      <c r="B95" s="16">
        <v>56934537</v>
      </c>
      <c r="C95" s="16">
        <v>42367866</v>
      </c>
      <c r="D95" s="16">
        <v>14566671</v>
      </c>
      <c r="E95" s="16">
        <v>13380101</v>
      </c>
      <c r="F95" s="16">
        <v>1186570</v>
      </c>
      <c r="G95" s="16">
        <v>22667278</v>
      </c>
      <c r="H95" s="16">
        <v>17307605</v>
      </c>
      <c r="I95" s="16">
        <v>5359673</v>
      </c>
      <c r="J95" s="16">
        <v>5002112</v>
      </c>
      <c r="K95" s="16">
        <v>357561</v>
      </c>
      <c r="L95" s="16">
        <v>10248944</v>
      </c>
      <c r="M95" s="16">
        <v>7541736</v>
      </c>
      <c r="N95" s="16">
        <v>2707208</v>
      </c>
      <c r="O95" s="16">
        <v>2460912</v>
      </c>
      <c r="P95" s="16">
        <v>246296</v>
      </c>
      <c r="Q95" s="16">
        <v>9958074</v>
      </c>
      <c r="R95" s="16">
        <v>7250131</v>
      </c>
      <c r="S95" s="16">
        <v>2707943</v>
      </c>
      <c r="T95" s="16">
        <v>2450209</v>
      </c>
      <c r="U95" s="16">
        <v>257734</v>
      </c>
      <c r="V95" s="16">
        <v>1698117</v>
      </c>
      <c r="W95" s="16">
        <v>1223878</v>
      </c>
      <c r="X95" s="16">
        <v>474239</v>
      </c>
      <c r="Y95" s="16">
        <v>423026</v>
      </c>
      <c r="Z95" s="16">
        <v>51213</v>
      </c>
      <c r="AA95" s="16">
        <v>12362124</v>
      </c>
      <c r="AB95" s="16">
        <v>9044516</v>
      </c>
      <c r="AC95" s="16">
        <v>3317608</v>
      </c>
      <c r="AD95" s="16">
        <v>3043842</v>
      </c>
      <c r="AE95" s="16">
        <v>273766</v>
      </c>
      <c r="AF95" s="5"/>
      <c r="AG95" s="5"/>
      <c r="AH95" s="5"/>
      <c r="AI95" s="5"/>
      <c r="AJ95" s="5"/>
    </row>
    <row r="96" spans="1:36" ht="13.5" customHeight="1" x14ac:dyDescent="0.2">
      <c r="A96" s="26">
        <v>42948</v>
      </c>
      <c r="B96" s="16">
        <v>62249300</v>
      </c>
      <c r="C96" s="16">
        <v>43627583</v>
      </c>
      <c r="D96" s="16">
        <v>18621717</v>
      </c>
      <c r="E96" s="16">
        <v>17179723</v>
      </c>
      <c r="F96" s="16">
        <v>1441994</v>
      </c>
      <c r="G96" s="16">
        <v>24943377</v>
      </c>
      <c r="H96" s="16">
        <v>17819350</v>
      </c>
      <c r="I96" s="16">
        <v>7124027</v>
      </c>
      <c r="J96" s="16">
        <v>6675764</v>
      </c>
      <c r="K96" s="16">
        <v>448263</v>
      </c>
      <c r="L96" s="16">
        <v>11093278</v>
      </c>
      <c r="M96" s="16">
        <v>7707501</v>
      </c>
      <c r="N96" s="16">
        <v>3385777</v>
      </c>
      <c r="O96" s="16">
        <v>3086613</v>
      </c>
      <c r="P96" s="16">
        <v>299164</v>
      </c>
      <c r="Q96" s="16">
        <v>10802200</v>
      </c>
      <c r="R96" s="16">
        <v>7529909</v>
      </c>
      <c r="S96" s="16">
        <v>3272291</v>
      </c>
      <c r="T96" s="16">
        <v>2969933</v>
      </c>
      <c r="U96" s="16">
        <v>302358</v>
      </c>
      <c r="V96" s="16">
        <v>1841811</v>
      </c>
      <c r="W96" s="16">
        <v>1264040</v>
      </c>
      <c r="X96" s="16">
        <v>577771</v>
      </c>
      <c r="Y96" s="16">
        <v>517861</v>
      </c>
      <c r="Z96" s="16">
        <v>59910</v>
      </c>
      <c r="AA96" s="16">
        <v>13568634</v>
      </c>
      <c r="AB96" s="16">
        <v>9306783</v>
      </c>
      <c r="AC96" s="16">
        <v>4261851</v>
      </c>
      <c r="AD96" s="16">
        <v>3929552</v>
      </c>
      <c r="AE96" s="16">
        <v>332299</v>
      </c>
      <c r="AF96" s="5"/>
      <c r="AG96" s="5"/>
      <c r="AH96" s="5"/>
      <c r="AI96" s="5"/>
      <c r="AJ96" s="5"/>
    </row>
    <row r="97" spans="1:41" ht="13.5" customHeight="1" x14ac:dyDescent="0.2">
      <c r="A97" s="26">
        <v>42979</v>
      </c>
      <c r="B97" s="16">
        <v>56689096</v>
      </c>
      <c r="C97" s="16">
        <v>39681168</v>
      </c>
      <c r="D97" s="16">
        <v>17007928</v>
      </c>
      <c r="E97" s="16">
        <v>15673881</v>
      </c>
      <c r="F97" s="16">
        <v>1334047</v>
      </c>
      <c r="G97" s="16">
        <v>22421742</v>
      </c>
      <c r="H97" s="16">
        <v>15985398</v>
      </c>
      <c r="I97" s="16">
        <v>6436344</v>
      </c>
      <c r="J97" s="16">
        <v>6023136</v>
      </c>
      <c r="K97" s="16">
        <v>413208</v>
      </c>
      <c r="L97" s="16">
        <v>10379325</v>
      </c>
      <c r="M97" s="16">
        <v>7250450</v>
      </c>
      <c r="N97" s="16">
        <v>3128875</v>
      </c>
      <c r="O97" s="16">
        <v>2849365</v>
      </c>
      <c r="P97" s="16">
        <v>279510</v>
      </c>
      <c r="Q97" s="16">
        <v>9793567</v>
      </c>
      <c r="R97" s="16">
        <v>6806126</v>
      </c>
      <c r="S97" s="16">
        <v>2987441</v>
      </c>
      <c r="T97" s="16">
        <v>2711506</v>
      </c>
      <c r="U97" s="16">
        <v>275935</v>
      </c>
      <c r="V97" s="16">
        <v>1703503</v>
      </c>
      <c r="W97" s="16">
        <v>1168080</v>
      </c>
      <c r="X97" s="16">
        <v>535423</v>
      </c>
      <c r="Y97" s="16">
        <v>478614</v>
      </c>
      <c r="Z97" s="16">
        <v>56809</v>
      </c>
      <c r="AA97" s="16">
        <v>12390959</v>
      </c>
      <c r="AB97" s="16">
        <v>8471114</v>
      </c>
      <c r="AC97" s="16">
        <v>3919845</v>
      </c>
      <c r="AD97" s="16">
        <v>3611260</v>
      </c>
      <c r="AE97" s="16">
        <v>308585</v>
      </c>
      <c r="AF97" s="5"/>
      <c r="AG97" s="5"/>
      <c r="AH97" s="5"/>
      <c r="AI97" s="5"/>
      <c r="AJ97" s="5"/>
    </row>
    <row r="98" spans="1:41" ht="13.5" customHeight="1" x14ac:dyDescent="0.2">
      <c r="A98" s="26">
        <v>43009</v>
      </c>
      <c r="B98" s="16">
        <v>60779651</v>
      </c>
      <c r="C98" s="16">
        <v>42135629</v>
      </c>
      <c r="D98" s="16">
        <v>18644022</v>
      </c>
      <c r="E98" s="16">
        <v>17190213</v>
      </c>
      <c r="F98" s="16">
        <v>1453809</v>
      </c>
      <c r="G98" s="16">
        <v>24367220</v>
      </c>
      <c r="H98" s="16">
        <v>17208516</v>
      </c>
      <c r="I98" s="16">
        <v>7158704</v>
      </c>
      <c r="J98" s="16">
        <v>6705892</v>
      </c>
      <c r="K98" s="16">
        <v>452812</v>
      </c>
      <c r="L98" s="16">
        <v>11021148</v>
      </c>
      <c r="M98" s="16">
        <v>7582799</v>
      </c>
      <c r="N98" s="16">
        <v>3438349</v>
      </c>
      <c r="O98" s="16">
        <v>3136337</v>
      </c>
      <c r="P98" s="16">
        <v>302012</v>
      </c>
      <c r="Q98" s="16">
        <v>10484127</v>
      </c>
      <c r="R98" s="16">
        <v>7236341</v>
      </c>
      <c r="S98" s="16">
        <v>3247786</v>
      </c>
      <c r="T98" s="16">
        <v>2944804</v>
      </c>
      <c r="U98" s="16">
        <v>302982</v>
      </c>
      <c r="V98" s="16">
        <v>1793673</v>
      </c>
      <c r="W98" s="16">
        <v>1215429</v>
      </c>
      <c r="X98" s="16">
        <v>578244</v>
      </c>
      <c r="Y98" s="16">
        <v>516545</v>
      </c>
      <c r="Z98" s="16">
        <v>61699</v>
      </c>
      <c r="AA98" s="16">
        <v>13113483</v>
      </c>
      <c r="AB98" s="16">
        <v>8892544</v>
      </c>
      <c r="AC98" s="16">
        <v>4220939</v>
      </c>
      <c r="AD98" s="16">
        <v>3886635</v>
      </c>
      <c r="AE98" s="16">
        <v>334304</v>
      </c>
      <c r="AF98" s="5"/>
      <c r="AG98" s="5"/>
      <c r="AH98" s="5"/>
      <c r="AI98" s="5"/>
      <c r="AJ98" s="5"/>
    </row>
    <row r="99" spans="1:41" ht="13.5" customHeight="1" x14ac:dyDescent="0.2">
      <c r="A99" s="26">
        <v>43040</v>
      </c>
      <c r="B99" s="16">
        <v>63047129</v>
      </c>
      <c r="C99" s="16">
        <v>44134592</v>
      </c>
      <c r="D99" s="16">
        <v>18912537</v>
      </c>
      <c r="E99" s="16">
        <v>17392478</v>
      </c>
      <c r="F99" s="16">
        <v>1520059</v>
      </c>
      <c r="G99" s="16">
        <v>24296207</v>
      </c>
      <c r="H99" s="16">
        <v>17330408</v>
      </c>
      <c r="I99" s="16">
        <v>6965799</v>
      </c>
      <c r="J99" s="16">
        <v>6510037</v>
      </c>
      <c r="K99" s="16">
        <v>455762</v>
      </c>
      <c r="L99" s="16">
        <v>10903301</v>
      </c>
      <c r="M99" s="16">
        <v>7544683</v>
      </c>
      <c r="N99" s="16">
        <v>3358618</v>
      </c>
      <c r="O99" s="16">
        <v>3051872</v>
      </c>
      <c r="P99" s="16">
        <v>306746</v>
      </c>
      <c r="Q99" s="16">
        <v>10587629</v>
      </c>
      <c r="R99" s="16">
        <v>7368337</v>
      </c>
      <c r="S99" s="16">
        <v>3219292</v>
      </c>
      <c r="T99" s="16">
        <v>2909298</v>
      </c>
      <c r="U99" s="16">
        <v>309994</v>
      </c>
      <c r="V99" s="16">
        <v>1796025</v>
      </c>
      <c r="W99" s="16">
        <v>1229775</v>
      </c>
      <c r="X99" s="16">
        <v>566250</v>
      </c>
      <c r="Y99" s="16">
        <v>503987</v>
      </c>
      <c r="Z99" s="16">
        <v>62263</v>
      </c>
      <c r="AA99" s="16">
        <v>12710704</v>
      </c>
      <c r="AB99" s="16">
        <v>8691671</v>
      </c>
      <c r="AC99" s="16">
        <v>4019033</v>
      </c>
      <c r="AD99" s="16">
        <v>3689791</v>
      </c>
      <c r="AE99" s="16">
        <v>329242</v>
      </c>
      <c r="AF99" s="16">
        <v>2753263</v>
      </c>
      <c r="AG99" s="16">
        <v>1969718</v>
      </c>
      <c r="AH99" s="16">
        <v>783545</v>
      </c>
      <c r="AI99" s="16">
        <v>727493</v>
      </c>
      <c r="AJ99" s="16">
        <v>56052</v>
      </c>
    </row>
    <row r="100" spans="1:41" ht="13.5" customHeight="1" x14ac:dyDescent="0.2">
      <c r="A100" s="26">
        <v>43070</v>
      </c>
      <c r="B100" s="16">
        <v>58661146</v>
      </c>
      <c r="C100" s="16">
        <v>42997253</v>
      </c>
      <c r="D100" s="16">
        <v>15663893</v>
      </c>
      <c r="E100" s="16">
        <v>14261653</v>
      </c>
      <c r="F100" s="16">
        <v>1402240</v>
      </c>
      <c r="G100" s="16">
        <v>22128207</v>
      </c>
      <c r="H100" s="16">
        <v>16624621</v>
      </c>
      <c r="I100" s="16">
        <v>5503586</v>
      </c>
      <c r="J100" s="16">
        <v>5091645</v>
      </c>
      <c r="K100" s="16">
        <v>411941</v>
      </c>
      <c r="L100" s="16">
        <v>10226495</v>
      </c>
      <c r="M100" s="16">
        <v>7478062</v>
      </c>
      <c r="N100" s="16">
        <v>2748433</v>
      </c>
      <c r="O100" s="16">
        <v>2472577</v>
      </c>
      <c r="P100" s="16">
        <v>275856</v>
      </c>
      <c r="Q100" s="16">
        <v>10002469</v>
      </c>
      <c r="R100" s="16">
        <v>7149616</v>
      </c>
      <c r="S100" s="16">
        <v>2852853</v>
      </c>
      <c r="T100" s="16">
        <v>2561165</v>
      </c>
      <c r="U100" s="16">
        <v>291688</v>
      </c>
      <c r="V100" s="16">
        <v>1719921</v>
      </c>
      <c r="W100" s="16">
        <v>1223498</v>
      </c>
      <c r="X100" s="16">
        <v>496423</v>
      </c>
      <c r="Y100" s="16">
        <v>435867</v>
      </c>
      <c r="Z100" s="16">
        <v>60556</v>
      </c>
      <c r="AA100" s="16">
        <v>11876216</v>
      </c>
      <c r="AB100" s="16">
        <v>8506742</v>
      </c>
      <c r="AC100" s="16">
        <v>3369474</v>
      </c>
      <c r="AD100" s="16">
        <v>3065066</v>
      </c>
      <c r="AE100" s="16">
        <v>304408</v>
      </c>
      <c r="AF100" s="16">
        <v>2707838</v>
      </c>
      <c r="AG100" s="16">
        <v>2014714</v>
      </c>
      <c r="AH100" s="16">
        <v>693124</v>
      </c>
      <c r="AI100" s="16">
        <v>635333</v>
      </c>
      <c r="AJ100" s="16">
        <v>57791</v>
      </c>
    </row>
    <row r="101" spans="1:41" ht="13.5" customHeight="1" x14ac:dyDescent="0.2">
      <c r="A101" s="26">
        <v>43101</v>
      </c>
      <c r="B101" s="16">
        <v>53259808</v>
      </c>
      <c r="C101" s="16">
        <v>40310368</v>
      </c>
      <c r="D101" s="16">
        <v>12949440</v>
      </c>
      <c r="E101" s="16">
        <v>11789639</v>
      </c>
      <c r="F101" s="16">
        <v>1159801</v>
      </c>
      <c r="G101" s="16">
        <v>20717399</v>
      </c>
      <c r="H101" s="16">
        <v>16120838</v>
      </c>
      <c r="I101" s="16">
        <v>4596561</v>
      </c>
      <c r="J101" s="16">
        <v>4256292</v>
      </c>
      <c r="K101" s="16">
        <v>340269</v>
      </c>
      <c r="L101" s="16">
        <v>8920389</v>
      </c>
      <c r="M101" s="16">
        <v>6745410</v>
      </c>
      <c r="N101" s="16">
        <v>2174979</v>
      </c>
      <c r="O101" s="16">
        <v>1958203</v>
      </c>
      <c r="P101" s="16">
        <v>216776</v>
      </c>
      <c r="Q101" s="16">
        <v>8947832</v>
      </c>
      <c r="R101" s="16">
        <v>6549875</v>
      </c>
      <c r="S101" s="16">
        <v>2397957</v>
      </c>
      <c r="T101" s="16">
        <v>2145237</v>
      </c>
      <c r="U101" s="16">
        <v>252720</v>
      </c>
      <c r="V101" s="16">
        <v>1494346</v>
      </c>
      <c r="W101" s="19">
        <v>1088382</v>
      </c>
      <c r="X101" s="19">
        <v>405964</v>
      </c>
      <c r="Y101" s="19">
        <v>354243</v>
      </c>
      <c r="Z101" s="19">
        <v>51721</v>
      </c>
      <c r="AA101" s="16">
        <v>10617879</v>
      </c>
      <c r="AB101" s="16">
        <v>7869042</v>
      </c>
      <c r="AC101" s="16">
        <v>2748837</v>
      </c>
      <c r="AD101" s="16">
        <v>2502959</v>
      </c>
      <c r="AE101" s="16">
        <v>245878</v>
      </c>
      <c r="AF101" s="16">
        <v>2561963</v>
      </c>
      <c r="AG101" s="16">
        <v>1936821</v>
      </c>
      <c r="AH101" s="16">
        <v>625142</v>
      </c>
      <c r="AI101" s="16">
        <v>572705</v>
      </c>
      <c r="AJ101" s="16">
        <v>52437</v>
      </c>
      <c r="AK101" s="5"/>
      <c r="AL101" s="5"/>
      <c r="AM101" s="5"/>
      <c r="AN101" s="5"/>
      <c r="AO101" s="5"/>
    </row>
    <row r="102" spans="1:41" ht="13.5" customHeight="1" x14ac:dyDescent="0.2">
      <c r="A102" s="26">
        <v>43132</v>
      </c>
      <c r="B102" s="16">
        <v>44018980</v>
      </c>
      <c r="C102" s="16">
        <v>33999714</v>
      </c>
      <c r="D102" s="16">
        <v>10019266</v>
      </c>
      <c r="E102" s="16">
        <v>9063495</v>
      </c>
      <c r="F102" s="16">
        <v>955771</v>
      </c>
      <c r="G102" s="16">
        <v>16975863</v>
      </c>
      <c r="H102" s="16">
        <v>13476128</v>
      </c>
      <c r="I102" s="16">
        <v>3499735</v>
      </c>
      <c r="J102" s="16">
        <v>3220575</v>
      </c>
      <c r="K102" s="16">
        <v>279160</v>
      </c>
      <c r="L102" s="16">
        <v>7491453</v>
      </c>
      <c r="M102" s="16">
        <v>5822490</v>
      </c>
      <c r="N102" s="16">
        <v>1668963</v>
      </c>
      <c r="O102" s="16">
        <v>1491650</v>
      </c>
      <c r="P102" s="16">
        <v>177313</v>
      </c>
      <c r="Q102" s="16">
        <v>7337445</v>
      </c>
      <c r="R102" s="16">
        <v>5442912</v>
      </c>
      <c r="S102" s="16">
        <v>1894533</v>
      </c>
      <c r="T102" s="16">
        <v>1686570</v>
      </c>
      <c r="U102" s="16">
        <v>207963</v>
      </c>
      <c r="V102" s="16">
        <v>1247602</v>
      </c>
      <c r="W102" s="19">
        <v>924587</v>
      </c>
      <c r="X102" s="19">
        <v>323015</v>
      </c>
      <c r="Y102" s="19">
        <v>279696</v>
      </c>
      <c r="Z102" s="19">
        <v>43319</v>
      </c>
      <c r="AA102" s="16">
        <v>8788621</v>
      </c>
      <c r="AB102" s="16">
        <v>6660906</v>
      </c>
      <c r="AC102" s="16">
        <v>2127715</v>
      </c>
      <c r="AD102" s="16">
        <v>1924742</v>
      </c>
      <c r="AE102" s="16">
        <v>202973</v>
      </c>
      <c r="AF102" s="16">
        <v>2177996</v>
      </c>
      <c r="AG102" s="16">
        <v>1672691</v>
      </c>
      <c r="AH102" s="16">
        <v>505305</v>
      </c>
      <c r="AI102" s="16">
        <v>460262</v>
      </c>
      <c r="AJ102" s="16">
        <v>45043</v>
      </c>
      <c r="AK102" s="5"/>
      <c r="AL102" s="5"/>
      <c r="AM102" s="5"/>
      <c r="AN102" s="5"/>
      <c r="AO102" s="5"/>
    </row>
    <row r="103" spans="1:41" ht="13.5" customHeight="1" x14ac:dyDescent="0.2">
      <c r="A103" s="26">
        <v>43160</v>
      </c>
      <c r="B103" s="16">
        <v>61856577</v>
      </c>
      <c r="C103" s="16">
        <v>44094872</v>
      </c>
      <c r="D103" s="16">
        <v>17761705</v>
      </c>
      <c r="E103" s="16">
        <v>16246032</v>
      </c>
      <c r="F103" s="16">
        <v>1515673</v>
      </c>
      <c r="G103" s="16">
        <v>23944556</v>
      </c>
      <c r="H103" s="16">
        <v>17389468</v>
      </c>
      <c r="I103" s="16">
        <v>6555088</v>
      </c>
      <c r="J103" s="16">
        <v>6101604</v>
      </c>
      <c r="K103" s="16">
        <v>453484</v>
      </c>
      <c r="L103" s="16">
        <v>10432808</v>
      </c>
      <c r="M103" s="16">
        <v>7439204</v>
      </c>
      <c r="N103" s="16">
        <v>2993604</v>
      </c>
      <c r="O103" s="16">
        <v>2695951</v>
      </c>
      <c r="P103" s="16">
        <v>297653</v>
      </c>
      <c r="Q103" s="16">
        <v>10254113</v>
      </c>
      <c r="R103" s="16">
        <v>7230420</v>
      </c>
      <c r="S103" s="16">
        <v>3023693</v>
      </c>
      <c r="T103" s="16">
        <v>2723455</v>
      </c>
      <c r="U103" s="16">
        <v>300238</v>
      </c>
      <c r="V103" s="16">
        <v>1691859</v>
      </c>
      <c r="W103" s="19">
        <v>1181268</v>
      </c>
      <c r="X103" s="16">
        <v>510591</v>
      </c>
      <c r="Y103" s="19">
        <v>449271</v>
      </c>
      <c r="Z103" s="19">
        <v>61320</v>
      </c>
      <c r="AA103" s="16">
        <v>12371615</v>
      </c>
      <c r="AB103" s="16">
        <v>8599498</v>
      </c>
      <c r="AC103" s="16">
        <v>3772117</v>
      </c>
      <c r="AD103" s="16">
        <v>3440120</v>
      </c>
      <c r="AE103" s="16">
        <v>331997</v>
      </c>
      <c r="AF103" s="16">
        <v>3161626</v>
      </c>
      <c r="AG103" s="16">
        <v>2255014</v>
      </c>
      <c r="AH103" s="16">
        <v>906612</v>
      </c>
      <c r="AI103" s="16">
        <v>835631</v>
      </c>
      <c r="AJ103" s="16">
        <v>70981</v>
      </c>
      <c r="AK103" s="5"/>
      <c r="AL103" s="5"/>
      <c r="AM103" s="5"/>
      <c r="AN103" s="5"/>
      <c r="AO103" s="5"/>
    </row>
    <row r="104" spans="1:41" ht="13.5" customHeight="1" x14ac:dyDescent="0.2">
      <c r="A104" s="26">
        <v>43191</v>
      </c>
      <c r="B104" s="16">
        <v>63938728</v>
      </c>
      <c r="C104" s="16">
        <v>43558820</v>
      </c>
      <c r="D104" s="16">
        <v>20379908</v>
      </c>
      <c r="E104" s="16">
        <v>18783612</v>
      </c>
      <c r="F104" s="16">
        <v>1596296</v>
      </c>
      <c r="G104" s="16">
        <v>24881228</v>
      </c>
      <c r="H104" s="16">
        <v>17213561</v>
      </c>
      <c r="I104" s="16">
        <v>7667667</v>
      </c>
      <c r="J104" s="16">
        <v>7180372</v>
      </c>
      <c r="K104" s="16">
        <v>487295</v>
      </c>
      <c r="L104" s="16">
        <v>10719865</v>
      </c>
      <c r="M104" s="16">
        <v>7274107</v>
      </c>
      <c r="N104" s="16">
        <v>3445758</v>
      </c>
      <c r="O104" s="16">
        <v>3135853</v>
      </c>
      <c r="P104" s="16">
        <v>309905</v>
      </c>
      <c r="Q104" s="16">
        <v>10473506</v>
      </c>
      <c r="R104" s="16">
        <v>7117309</v>
      </c>
      <c r="S104" s="16">
        <v>3356197</v>
      </c>
      <c r="T104" s="16">
        <v>3045344</v>
      </c>
      <c r="U104" s="16">
        <v>310853</v>
      </c>
      <c r="V104" s="16">
        <v>1755530</v>
      </c>
      <c r="W104" s="19">
        <v>1171073</v>
      </c>
      <c r="X104" s="16">
        <v>584457</v>
      </c>
      <c r="Y104" s="19">
        <v>519263</v>
      </c>
      <c r="Z104" s="19">
        <v>65194</v>
      </c>
      <c r="AA104" s="16">
        <v>12745680</v>
      </c>
      <c r="AB104" s="16">
        <v>8500742</v>
      </c>
      <c r="AC104" s="16">
        <v>4244938</v>
      </c>
      <c r="AD104" s="16">
        <v>3899195</v>
      </c>
      <c r="AE104" s="16">
        <v>345743</v>
      </c>
      <c r="AF104" s="16">
        <v>3362919</v>
      </c>
      <c r="AG104" s="16">
        <v>2282028</v>
      </c>
      <c r="AH104" s="16">
        <v>1080891</v>
      </c>
      <c r="AI104" s="16">
        <v>1003585</v>
      </c>
      <c r="AJ104" s="16">
        <v>77306</v>
      </c>
      <c r="AK104" s="5"/>
      <c r="AL104" s="5"/>
      <c r="AM104" s="5"/>
      <c r="AN104" s="5"/>
      <c r="AO104" s="5"/>
    </row>
    <row r="105" spans="1:41" ht="13.5" customHeight="1" x14ac:dyDescent="0.2">
      <c r="A105" s="26">
        <v>43221</v>
      </c>
      <c r="B105" s="16">
        <v>64357176</v>
      </c>
      <c r="C105" s="16">
        <v>43722781</v>
      </c>
      <c r="D105" s="16">
        <v>20634395</v>
      </c>
      <c r="E105" s="16">
        <v>18888540</v>
      </c>
      <c r="F105" s="16">
        <v>1745855</v>
      </c>
      <c r="G105" s="16">
        <v>24935394</v>
      </c>
      <c r="H105" s="16">
        <v>17212831</v>
      </c>
      <c r="I105" s="16">
        <v>7722563</v>
      </c>
      <c r="J105" s="16">
        <v>7196824</v>
      </c>
      <c r="K105" s="16">
        <v>525739</v>
      </c>
      <c r="L105" s="16">
        <v>10749918</v>
      </c>
      <c r="M105" s="16">
        <v>7298389</v>
      </c>
      <c r="N105" s="16">
        <v>3451529</v>
      </c>
      <c r="O105" s="16">
        <v>3115707</v>
      </c>
      <c r="P105" s="16">
        <v>335822</v>
      </c>
      <c r="Q105" s="16">
        <v>10604450</v>
      </c>
      <c r="R105" s="16">
        <v>7167603</v>
      </c>
      <c r="S105" s="16">
        <v>3436847</v>
      </c>
      <c r="T105" s="16">
        <v>3091199</v>
      </c>
      <c r="U105" s="16">
        <v>345648</v>
      </c>
      <c r="V105" s="16">
        <v>1773289</v>
      </c>
      <c r="W105" s="16">
        <v>1176424</v>
      </c>
      <c r="X105" s="16">
        <v>596865</v>
      </c>
      <c r="Y105" s="16">
        <v>523867</v>
      </c>
      <c r="Z105" s="16">
        <v>72998</v>
      </c>
      <c r="AA105" s="16">
        <v>12879749</v>
      </c>
      <c r="AB105" s="16">
        <v>8536886</v>
      </c>
      <c r="AC105" s="16">
        <v>4342863</v>
      </c>
      <c r="AD105" s="16">
        <v>3962540</v>
      </c>
      <c r="AE105" s="16">
        <v>380323</v>
      </c>
      <c r="AF105" s="16">
        <v>3414376</v>
      </c>
      <c r="AG105" s="16">
        <v>2330648</v>
      </c>
      <c r="AH105" s="16">
        <v>1083728</v>
      </c>
      <c r="AI105" s="16">
        <v>998403</v>
      </c>
      <c r="AJ105" s="16">
        <v>85325</v>
      </c>
      <c r="AK105" s="5"/>
      <c r="AL105" s="5"/>
      <c r="AM105" s="5"/>
      <c r="AN105" s="5"/>
      <c r="AO105" s="5"/>
    </row>
    <row r="106" spans="1:41" ht="13.5" customHeight="1" x14ac:dyDescent="0.2">
      <c r="A106" s="26">
        <v>43252</v>
      </c>
      <c r="B106" s="16">
        <v>62334844</v>
      </c>
      <c r="C106" s="16">
        <v>45847216</v>
      </c>
      <c r="D106" s="16">
        <v>16487628</v>
      </c>
      <c r="E106" s="16">
        <v>15061032</v>
      </c>
      <c r="F106" s="16">
        <v>1426596</v>
      </c>
      <c r="G106" s="16">
        <v>24137508</v>
      </c>
      <c r="H106" s="16">
        <v>17999098</v>
      </c>
      <c r="I106" s="16">
        <v>6138410</v>
      </c>
      <c r="J106" s="16">
        <v>5706252</v>
      </c>
      <c r="K106" s="16">
        <v>432158</v>
      </c>
      <c r="L106" s="16">
        <v>10370264</v>
      </c>
      <c r="M106" s="16">
        <v>7607580</v>
      </c>
      <c r="N106" s="16">
        <v>2762684</v>
      </c>
      <c r="O106" s="16">
        <v>2499253</v>
      </c>
      <c r="P106" s="16">
        <v>263431</v>
      </c>
      <c r="Q106" s="16">
        <v>10284321</v>
      </c>
      <c r="R106" s="16">
        <v>7534276</v>
      </c>
      <c r="S106" s="16">
        <v>2750045</v>
      </c>
      <c r="T106" s="16">
        <v>2455501</v>
      </c>
      <c r="U106" s="16">
        <v>294544</v>
      </c>
      <c r="V106" s="16">
        <v>1724082</v>
      </c>
      <c r="W106" s="16">
        <v>1243800</v>
      </c>
      <c r="X106" s="16">
        <v>480282</v>
      </c>
      <c r="Y106" s="16">
        <v>417808</v>
      </c>
      <c r="Z106" s="16">
        <v>62474</v>
      </c>
      <c r="AA106" s="16">
        <v>12458452</v>
      </c>
      <c r="AB106" s="16">
        <v>8972061</v>
      </c>
      <c r="AC106" s="16">
        <v>3486391</v>
      </c>
      <c r="AD106" s="16">
        <v>3185971</v>
      </c>
      <c r="AE106" s="16">
        <v>300420</v>
      </c>
      <c r="AF106" s="16">
        <v>3360217</v>
      </c>
      <c r="AG106" s="16">
        <v>2490401</v>
      </c>
      <c r="AH106" s="16">
        <v>869816</v>
      </c>
      <c r="AI106" s="16">
        <v>796247</v>
      </c>
      <c r="AJ106" s="16">
        <v>73569</v>
      </c>
      <c r="AK106" s="5"/>
      <c r="AL106" s="5"/>
      <c r="AM106" s="5"/>
      <c r="AN106" s="5"/>
      <c r="AO106" s="5"/>
    </row>
    <row r="107" spans="1:41" ht="13.5" customHeight="1" x14ac:dyDescent="0.2">
      <c r="A107" s="26">
        <v>43282</v>
      </c>
      <c r="B107" s="16">
        <v>57652027</v>
      </c>
      <c r="C107" s="16">
        <v>43378945</v>
      </c>
      <c r="D107" s="16">
        <v>14273082</v>
      </c>
      <c r="E107" s="16">
        <v>12856818</v>
      </c>
      <c r="F107" s="16">
        <v>1416264</v>
      </c>
      <c r="G107" s="16">
        <v>22259341</v>
      </c>
      <c r="H107" s="16">
        <v>17123606</v>
      </c>
      <c r="I107" s="16">
        <v>5135735</v>
      </c>
      <c r="J107" s="16">
        <v>4704631</v>
      </c>
      <c r="K107" s="16">
        <v>431104</v>
      </c>
      <c r="L107" s="16">
        <v>9617318</v>
      </c>
      <c r="M107" s="16">
        <v>7182527</v>
      </c>
      <c r="N107" s="16">
        <v>2434791</v>
      </c>
      <c r="O107" s="16">
        <v>2178964</v>
      </c>
      <c r="P107" s="16">
        <v>255827</v>
      </c>
      <c r="Q107" s="16">
        <v>9519664</v>
      </c>
      <c r="R107" s="16">
        <v>7021165</v>
      </c>
      <c r="S107" s="16">
        <v>2498499</v>
      </c>
      <c r="T107" s="16">
        <v>2202451</v>
      </c>
      <c r="U107" s="16">
        <v>296048</v>
      </c>
      <c r="V107" s="16">
        <v>1606433</v>
      </c>
      <c r="W107" s="16">
        <v>1159596</v>
      </c>
      <c r="X107" s="16">
        <v>446837</v>
      </c>
      <c r="Y107" s="16">
        <v>383834</v>
      </c>
      <c r="Z107" s="16">
        <v>63003</v>
      </c>
      <c r="AA107" s="16">
        <v>11479136</v>
      </c>
      <c r="AB107" s="16">
        <v>8493946</v>
      </c>
      <c r="AC107" s="16">
        <v>2985190</v>
      </c>
      <c r="AD107" s="16">
        <v>2689307</v>
      </c>
      <c r="AE107" s="16">
        <v>295883</v>
      </c>
      <c r="AF107" s="16">
        <v>3170135</v>
      </c>
      <c r="AG107" s="16">
        <v>2398105</v>
      </c>
      <c r="AH107" s="16">
        <v>772030</v>
      </c>
      <c r="AI107" s="16">
        <v>697631</v>
      </c>
      <c r="AJ107" s="16">
        <v>74399</v>
      </c>
      <c r="AK107" s="5"/>
      <c r="AL107" s="5"/>
      <c r="AM107" s="5"/>
      <c r="AN107" s="5"/>
      <c r="AO107" s="5"/>
    </row>
    <row r="108" spans="1:41" ht="13.5" customHeight="1" x14ac:dyDescent="0.2">
      <c r="A108" s="26">
        <v>43313</v>
      </c>
      <c r="B108" s="16">
        <v>66671235</v>
      </c>
      <c r="C108" s="16">
        <v>47398798</v>
      </c>
      <c r="D108" s="16">
        <v>19272437</v>
      </c>
      <c r="E108" s="16">
        <v>17486451</v>
      </c>
      <c r="F108" s="16">
        <v>1785986</v>
      </c>
      <c r="G108" s="16">
        <v>25866148</v>
      </c>
      <c r="H108" s="16">
        <v>18669942</v>
      </c>
      <c r="I108" s="16">
        <v>7196206</v>
      </c>
      <c r="J108" s="16">
        <v>6650265</v>
      </c>
      <c r="K108" s="16">
        <v>545941</v>
      </c>
      <c r="L108" s="16">
        <v>11089680</v>
      </c>
      <c r="M108" s="16">
        <v>7831862</v>
      </c>
      <c r="N108" s="16">
        <v>3257818</v>
      </c>
      <c r="O108" s="16">
        <v>2920942</v>
      </c>
      <c r="P108" s="16">
        <v>336876</v>
      </c>
      <c r="Q108" s="16">
        <v>10911636</v>
      </c>
      <c r="R108" s="16">
        <v>7716211</v>
      </c>
      <c r="S108" s="16">
        <v>3195425</v>
      </c>
      <c r="T108" s="16">
        <v>2836537</v>
      </c>
      <c r="U108" s="16">
        <v>358888</v>
      </c>
      <c r="V108" s="16">
        <v>1825472</v>
      </c>
      <c r="W108" s="16">
        <v>1261918</v>
      </c>
      <c r="X108" s="16">
        <v>563554</v>
      </c>
      <c r="Y108" s="16">
        <v>487020</v>
      </c>
      <c r="Z108" s="16">
        <v>76534</v>
      </c>
      <c r="AA108" s="16">
        <v>13268270</v>
      </c>
      <c r="AB108" s="16">
        <v>9261071</v>
      </c>
      <c r="AC108" s="16">
        <v>4007199</v>
      </c>
      <c r="AD108" s="16">
        <v>3632541</v>
      </c>
      <c r="AE108" s="16">
        <v>374658</v>
      </c>
      <c r="AF108" s="16">
        <v>3710029</v>
      </c>
      <c r="AG108" s="16">
        <v>2657794</v>
      </c>
      <c r="AH108" s="16">
        <v>1052235</v>
      </c>
      <c r="AI108" s="16">
        <v>959146</v>
      </c>
      <c r="AJ108" s="16">
        <v>93089</v>
      </c>
      <c r="AK108" s="5"/>
      <c r="AL108" s="5"/>
      <c r="AM108" s="5"/>
      <c r="AN108" s="5"/>
      <c r="AO108" s="5"/>
    </row>
    <row r="109" spans="1:41" ht="13.5" customHeight="1" x14ac:dyDescent="0.2">
      <c r="A109" s="26">
        <v>43344</v>
      </c>
      <c r="B109" s="16">
        <v>55538676</v>
      </c>
      <c r="C109" s="16">
        <v>39509494</v>
      </c>
      <c r="D109" s="16">
        <v>16029182</v>
      </c>
      <c r="E109" s="16">
        <v>14505128</v>
      </c>
      <c r="F109" s="16">
        <v>1524054</v>
      </c>
      <c r="G109" s="16">
        <v>20964907</v>
      </c>
      <c r="H109" s="16">
        <v>15186454</v>
      </c>
      <c r="I109" s="16">
        <v>5778453</v>
      </c>
      <c r="J109" s="16">
        <v>5324855</v>
      </c>
      <c r="K109" s="16">
        <v>453598</v>
      </c>
      <c r="L109" s="16">
        <v>9581557</v>
      </c>
      <c r="M109" s="16">
        <v>6818718</v>
      </c>
      <c r="N109" s="16">
        <v>2762839</v>
      </c>
      <c r="O109" s="16">
        <v>2469671</v>
      </c>
      <c r="P109" s="16">
        <v>293168</v>
      </c>
      <c r="Q109" s="16">
        <v>9151404</v>
      </c>
      <c r="R109" s="16">
        <v>6427035</v>
      </c>
      <c r="S109" s="16">
        <v>2724369</v>
      </c>
      <c r="T109" s="16">
        <v>2416927</v>
      </c>
      <c r="U109" s="16">
        <v>307442</v>
      </c>
      <c r="V109" s="16">
        <v>1559304</v>
      </c>
      <c r="W109" s="16">
        <v>1079156</v>
      </c>
      <c r="X109" s="16">
        <v>480148</v>
      </c>
      <c r="Y109" s="16">
        <v>414534</v>
      </c>
      <c r="Z109" s="16">
        <v>65614</v>
      </c>
      <c r="AA109" s="16">
        <v>11097417</v>
      </c>
      <c r="AB109" s="16">
        <v>7725220</v>
      </c>
      <c r="AC109" s="16">
        <v>3372197</v>
      </c>
      <c r="AD109" s="16">
        <v>3049793</v>
      </c>
      <c r="AE109" s="16">
        <v>322404</v>
      </c>
      <c r="AF109" s="16">
        <v>3184087</v>
      </c>
      <c r="AG109" s="16">
        <v>2272911</v>
      </c>
      <c r="AH109" s="16">
        <v>911176</v>
      </c>
      <c r="AI109" s="16">
        <v>829348</v>
      </c>
      <c r="AJ109" s="16">
        <v>81828</v>
      </c>
      <c r="AK109" s="5"/>
      <c r="AL109" s="5"/>
      <c r="AM109" s="5"/>
      <c r="AN109" s="5"/>
      <c r="AO109" s="5"/>
    </row>
    <row r="110" spans="1:41" ht="13.5" customHeight="1" x14ac:dyDescent="0.2">
      <c r="A110" s="26">
        <v>43374</v>
      </c>
      <c r="B110" s="16">
        <v>68241964</v>
      </c>
      <c r="C110" s="16">
        <v>47675647</v>
      </c>
      <c r="D110" s="16">
        <v>20566317</v>
      </c>
      <c r="E110" s="16">
        <v>18637252</v>
      </c>
      <c r="F110" s="16">
        <v>1929065</v>
      </c>
      <c r="G110" s="16">
        <v>26361528</v>
      </c>
      <c r="H110" s="16">
        <v>18734160</v>
      </c>
      <c r="I110" s="16">
        <v>7627368</v>
      </c>
      <c r="J110" s="16">
        <v>7039856</v>
      </c>
      <c r="K110" s="16">
        <v>587512</v>
      </c>
      <c r="L110" s="16">
        <v>11462584</v>
      </c>
      <c r="M110" s="16">
        <v>7940510</v>
      </c>
      <c r="N110" s="16">
        <v>3522074</v>
      </c>
      <c r="O110" s="16">
        <v>3153914</v>
      </c>
      <c r="P110" s="16">
        <v>368160</v>
      </c>
      <c r="Q110" s="16">
        <v>11149991</v>
      </c>
      <c r="R110" s="16">
        <v>7750740</v>
      </c>
      <c r="S110" s="16">
        <v>3399251</v>
      </c>
      <c r="T110" s="16">
        <v>3016947</v>
      </c>
      <c r="U110" s="16">
        <v>382304</v>
      </c>
      <c r="V110" s="16">
        <v>1875000</v>
      </c>
      <c r="W110" s="16">
        <v>1275195</v>
      </c>
      <c r="X110" s="16">
        <v>599805</v>
      </c>
      <c r="Y110" s="16">
        <v>517939</v>
      </c>
      <c r="Z110" s="16">
        <v>81866</v>
      </c>
      <c r="AA110" s="16">
        <v>13511022</v>
      </c>
      <c r="AB110" s="16">
        <v>9248424</v>
      </c>
      <c r="AC110" s="16">
        <v>4262598</v>
      </c>
      <c r="AD110" s="16">
        <v>3856741</v>
      </c>
      <c r="AE110" s="16">
        <v>405857</v>
      </c>
      <c r="AF110" s="16">
        <v>3881839</v>
      </c>
      <c r="AG110" s="16">
        <v>2726618</v>
      </c>
      <c r="AH110" s="16">
        <v>1155221</v>
      </c>
      <c r="AI110" s="16">
        <v>1051855</v>
      </c>
      <c r="AJ110" s="16">
        <v>103366</v>
      </c>
      <c r="AK110" s="5"/>
      <c r="AL110" s="5"/>
      <c r="AM110" s="5"/>
      <c r="AN110" s="5"/>
      <c r="AO110" s="5"/>
    </row>
    <row r="111" spans="1:41" ht="13.5" customHeight="1" x14ac:dyDescent="0.2">
      <c r="A111" s="26">
        <v>43405</v>
      </c>
      <c r="B111" s="16">
        <v>62652538</v>
      </c>
      <c r="C111" s="16">
        <v>44092674</v>
      </c>
      <c r="D111" s="16">
        <v>18559864</v>
      </c>
      <c r="E111" s="16">
        <v>16757047</v>
      </c>
      <c r="F111" s="16">
        <v>1802817</v>
      </c>
      <c r="G111" s="16">
        <v>24036332</v>
      </c>
      <c r="H111" s="16">
        <v>17256222</v>
      </c>
      <c r="I111" s="16">
        <v>6780110</v>
      </c>
      <c r="J111" s="16">
        <v>6240163</v>
      </c>
      <c r="K111" s="16">
        <v>539947</v>
      </c>
      <c r="L111" s="16">
        <v>10608934</v>
      </c>
      <c r="M111" s="16">
        <v>7404410</v>
      </c>
      <c r="N111" s="16">
        <v>3204524</v>
      </c>
      <c r="O111" s="16">
        <v>2859292</v>
      </c>
      <c r="P111" s="16">
        <v>345232</v>
      </c>
      <c r="Q111" s="16">
        <v>10280427</v>
      </c>
      <c r="R111" s="16">
        <v>7164169</v>
      </c>
      <c r="S111" s="16">
        <v>3116258</v>
      </c>
      <c r="T111" s="16">
        <v>2753719</v>
      </c>
      <c r="U111" s="16">
        <v>362539</v>
      </c>
      <c r="V111" s="16">
        <v>1723543</v>
      </c>
      <c r="W111" s="16">
        <v>1173669</v>
      </c>
      <c r="X111" s="16">
        <v>549874</v>
      </c>
      <c r="Y111" s="16">
        <v>473074</v>
      </c>
      <c r="Z111" s="16">
        <v>76800</v>
      </c>
      <c r="AA111" s="16">
        <v>12376776</v>
      </c>
      <c r="AB111" s="16">
        <v>8532471</v>
      </c>
      <c r="AC111" s="16">
        <v>3844305</v>
      </c>
      <c r="AD111" s="16">
        <v>3463947</v>
      </c>
      <c r="AE111" s="16">
        <v>380358</v>
      </c>
      <c r="AF111" s="16">
        <v>3626526</v>
      </c>
      <c r="AG111" s="16">
        <v>2561733</v>
      </c>
      <c r="AH111" s="16">
        <v>1064793</v>
      </c>
      <c r="AI111" s="16">
        <v>966852</v>
      </c>
      <c r="AJ111" s="16">
        <v>97941</v>
      </c>
      <c r="AK111" s="5"/>
      <c r="AL111" s="5"/>
      <c r="AM111" s="5"/>
      <c r="AN111" s="5"/>
      <c r="AO111" s="5"/>
    </row>
    <row r="112" spans="1:41" ht="13.5" customHeight="1" x14ac:dyDescent="0.2">
      <c r="A112" s="26">
        <v>43435</v>
      </c>
      <c r="B112" s="16">
        <v>60484759</v>
      </c>
      <c r="C112" s="16">
        <v>44301711</v>
      </c>
      <c r="D112" s="16">
        <v>16183048</v>
      </c>
      <c r="E112" s="16">
        <v>14448325</v>
      </c>
      <c r="F112" s="16">
        <v>1734723</v>
      </c>
      <c r="G112" s="16">
        <v>22992216</v>
      </c>
      <c r="H112" s="16">
        <v>17271227</v>
      </c>
      <c r="I112" s="16">
        <v>5720989</v>
      </c>
      <c r="J112" s="16">
        <v>5199344</v>
      </c>
      <c r="K112" s="16">
        <v>521645</v>
      </c>
      <c r="L112" s="16">
        <v>10205390</v>
      </c>
      <c r="M112" s="16">
        <v>7459550</v>
      </c>
      <c r="N112" s="16">
        <v>2745840</v>
      </c>
      <c r="O112" s="16">
        <v>2429250</v>
      </c>
      <c r="P112" s="16">
        <v>316590</v>
      </c>
      <c r="Q112" s="16">
        <v>10020485</v>
      </c>
      <c r="R112" s="16">
        <v>7147962</v>
      </c>
      <c r="S112" s="16">
        <v>2872523</v>
      </c>
      <c r="T112" s="16">
        <v>2516235</v>
      </c>
      <c r="U112" s="16">
        <v>356288</v>
      </c>
      <c r="V112" s="16">
        <v>1692915</v>
      </c>
      <c r="W112" s="16">
        <v>1190047</v>
      </c>
      <c r="X112" s="16">
        <v>502868</v>
      </c>
      <c r="Y112" s="16">
        <v>427933</v>
      </c>
      <c r="Z112" s="16">
        <v>74935</v>
      </c>
      <c r="AA112" s="16">
        <v>12073582</v>
      </c>
      <c r="AB112" s="16">
        <v>8678016</v>
      </c>
      <c r="AC112" s="16">
        <v>3395566</v>
      </c>
      <c r="AD112" s="16">
        <v>3022997</v>
      </c>
      <c r="AE112" s="16">
        <v>372569</v>
      </c>
      <c r="AF112" s="16">
        <v>3500171</v>
      </c>
      <c r="AG112" s="16">
        <v>2554909</v>
      </c>
      <c r="AH112" s="16">
        <v>945262</v>
      </c>
      <c r="AI112" s="16">
        <v>852566</v>
      </c>
      <c r="AJ112" s="16">
        <v>92696</v>
      </c>
      <c r="AK112" s="5"/>
      <c r="AL112" s="5"/>
      <c r="AM112" s="5"/>
      <c r="AN112" s="5"/>
      <c r="AO112" s="5"/>
    </row>
    <row r="113" spans="1:41" ht="13.5" customHeight="1" x14ac:dyDescent="0.2">
      <c r="A113" s="26">
        <v>43466</v>
      </c>
      <c r="B113" s="16">
        <v>56829807</v>
      </c>
      <c r="C113" s="16">
        <v>42817957</v>
      </c>
      <c r="D113" s="16">
        <v>14011850</v>
      </c>
      <c r="E113" s="16">
        <v>12494258</v>
      </c>
      <c r="F113" s="16">
        <v>1517592</v>
      </c>
      <c r="G113" s="16">
        <v>21686878</v>
      </c>
      <c r="H113" s="16">
        <v>16770958</v>
      </c>
      <c r="I113" s="16">
        <v>4915920</v>
      </c>
      <c r="J113" s="16">
        <v>4456864</v>
      </c>
      <c r="K113" s="16">
        <v>459056</v>
      </c>
      <c r="L113" s="16">
        <v>8997477</v>
      </c>
      <c r="M113" s="16">
        <v>6779554</v>
      </c>
      <c r="N113" s="16">
        <v>2217923</v>
      </c>
      <c r="O113" s="16">
        <v>1962432</v>
      </c>
      <c r="P113" s="16">
        <v>255491</v>
      </c>
      <c r="Q113" s="16">
        <v>9132579</v>
      </c>
      <c r="R113" s="16">
        <v>6648148</v>
      </c>
      <c r="S113" s="16">
        <v>2484431</v>
      </c>
      <c r="T113" s="16">
        <v>2170049</v>
      </c>
      <c r="U113" s="16">
        <v>314382</v>
      </c>
      <c r="V113" s="16">
        <v>1520751</v>
      </c>
      <c r="W113" s="16">
        <v>1091425</v>
      </c>
      <c r="X113" s="16">
        <v>429326</v>
      </c>
      <c r="Y113" s="16">
        <v>363420</v>
      </c>
      <c r="Z113" s="16">
        <v>65906</v>
      </c>
      <c r="AA113" s="16">
        <v>10950205</v>
      </c>
      <c r="AB113" s="16">
        <v>8104586</v>
      </c>
      <c r="AC113" s="16">
        <v>2845619</v>
      </c>
      <c r="AD113" s="16">
        <v>2534377</v>
      </c>
      <c r="AE113" s="16">
        <v>311242</v>
      </c>
      <c r="AF113" s="16">
        <v>3297094</v>
      </c>
      <c r="AG113" s="16">
        <v>2468002</v>
      </c>
      <c r="AH113" s="16">
        <v>829092</v>
      </c>
      <c r="AI113" s="16">
        <v>745024</v>
      </c>
      <c r="AJ113" s="16">
        <v>84068</v>
      </c>
      <c r="AK113" s="19">
        <v>1244823</v>
      </c>
      <c r="AL113" s="19">
        <v>955284</v>
      </c>
      <c r="AM113" s="19">
        <v>289539</v>
      </c>
      <c r="AN113" s="19">
        <v>262092</v>
      </c>
      <c r="AO113" s="19">
        <v>27447</v>
      </c>
    </row>
    <row r="114" spans="1:41" ht="13.5" customHeight="1" x14ac:dyDescent="0.2">
      <c r="A114" s="26">
        <v>43497</v>
      </c>
      <c r="B114" s="16">
        <v>46556166</v>
      </c>
      <c r="C114" s="16">
        <v>35704012</v>
      </c>
      <c r="D114" s="16">
        <v>10852154</v>
      </c>
      <c r="E114" s="16">
        <v>9579662</v>
      </c>
      <c r="F114" s="16">
        <v>1272492</v>
      </c>
      <c r="G114" s="16">
        <v>16929106</v>
      </c>
      <c r="H114" s="16">
        <v>13325037</v>
      </c>
      <c r="I114" s="16">
        <v>3604069</v>
      </c>
      <c r="J114" s="16">
        <v>3232526</v>
      </c>
      <c r="K114" s="16">
        <v>371543</v>
      </c>
      <c r="L114" s="16">
        <v>6841029</v>
      </c>
      <c r="M114" s="16">
        <v>5260628</v>
      </c>
      <c r="N114" s="16">
        <v>1580401</v>
      </c>
      <c r="O114" s="16">
        <v>1381244</v>
      </c>
      <c r="P114" s="16">
        <v>199157</v>
      </c>
      <c r="Q114" s="16">
        <v>6995304</v>
      </c>
      <c r="R114" s="16">
        <v>5130636</v>
      </c>
      <c r="S114" s="16">
        <v>1864668</v>
      </c>
      <c r="T114" s="16">
        <v>1613538</v>
      </c>
      <c r="U114" s="16">
        <v>251130</v>
      </c>
      <c r="V114" s="16">
        <v>1220951</v>
      </c>
      <c r="W114" s="16">
        <v>886557</v>
      </c>
      <c r="X114" s="16">
        <v>334394</v>
      </c>
      <c r="Y114" s="16">
        <v>279513</v>
      </c>
      <c r="Z114" s="16">
        <v>54881</v>
      </c>
      <c r="AA114" s="16">
        <v>8600363</v>
      </c>
      <c r="AB114" s="16">
        <v>6466886</v>
      </c>
      <c r="AC114" s="16">
        <v>2133477</v>
      </c>
      <c r="AD114" s="16">
        <v>1882940</v>
      </c>
      <c r="AE114" s="16">
        <v>250537</v>
      </c>
      <c r="AF114" s="16">
        <v>2653329</v>
      </c>
      <c r="AG114" s="16">
        <v>2030201</v>
      </c>
      <c r="AH114" s="16">
        <v>623128</v>
      </c>
      <c r="AI114" s="16">
        <v>553036</v>
      </c>
      <c r="AJ114" s="16">
        <v>70092</v>
      </c>
      <c r="AK114" s="19">
        <v>3316084</v>
      </c>
      <c r="AL114" s="19">
        <v>2604067</v>
      </c>
      <c r="AM114" s="19">
        <v>712017</v>
      </c>
      <c r="AN114" s="19">
        <v>636865</v>
      </c>
      <c r="AO114" s="19">
        <v>75152</v>
      </c>
    </row>
    <row r="115" spans="1:41" ht="13.5" customHeight="1" x14ac:dyDescent="0.2">
      <c r="A115" s="26">
        <v>43525</v>
      </c>
      <c r="B115" s="16">
        <v>67032670</v>
      </c>
      <c r="C115" s="16">
        <v>47341659</v>
      </c>
      <c r="D115" s="16">
        <v>19691011</v>
      </c>
      <c r="E115" s="16">
        <v>17657666</v>
      </c>
      <c r="F115" s="16">
        <v>2033345</v>
      </c>
      <c r="G115" s="16">
        <v>24466655</v>
      </c>
      <c r="H115" s="16">
        <v>17614620</v>
      </c>
      <c r="I115" s="16">
        <v>6852035</v>
      </c>
      <c r="J115" s="16">
        <v>6265368</v>
      </c>
      <c r="K115" s="16">
        <v>586667</v>
      </c>
      <c r="L115" s="16">
        <v>9675784</v>
      </c>
      <c r="M115" s="16">
        <v>6814093</v>
      </c>
      <c r="N115" s="16">
        <v>2861691</v>
      </c>
      <c r="O115" s="16">
        <v>2523170</v>
      </c>
      <c r="P115" s="16">
        <v>338521</v>
      </c>
      <c r="Q115" s="16">
        <v>9947890</v>
      </c>
      <c r="R115" s="16">
        <v>6883195</v>
      </c>
      <c r="S115" s="16">
        <v>3064695</v>
      </c>
      <c r="T115" s="16">
        <v>2699837</v>
      </c>
      <c r="U115" s="16">
        <v>364858</v>
      </c>
      <c r="V115" s="16">
        <v>1709811</v>
      </c>
      <c r="W115" s="16">
        <v>1160924</v>
      </c>
      <c r="X115" s="16">
        <v>548887</v>
      </c>
      <c r="Y115" s="16">
        <v>470182</v>
      </c>
      <c r="Z115" s="16">
        <v>78705</v>
      </c>
      <c r="AA115" s="16">
        <v>12476252</v>
      </c>
      <c r="AB115" s="16">
        <v>8566154</v>
      </c>
      <c r="AC115" s="16">
        <v>3910098</v>
      </c>
      <c r="AD115" s="16">
        <v>3495578</v>
      </c>
      <c r="AE115" s="16">
        <v>414520</v>
      </c>
      <c r="AF115" s="16">
        <v>3808952</v>
      </c>
      <c r="AG115" s="16">
        <v>2695859</v>
      </c>
      <c r="AH115" s="16">
        <v>1113093</v>
      </c>
      <c r="AI115" s="16">
        <v>1003223</v>
      </c>
      <c r="AJ115" s="16">
        <v>109870</v>
      </c>
      <c r="AK115" s="19">
        <v>4947326</v>
      </c>
      <c r="AL115" s="19">
        <v>3606814</v>
      </c>
      <c r="AM115" s="19">
        <v>1340512</v>
      </c>
      <c r="AN115" s="19">
        <v>1200308</v>
      </c>
      <c r="AO115" s="19">
        <v>140204</v>
      </c>
    </row>
    <row r="116" spans="1:41" ht="13.5" customHeight="1" x14ac:dyDescent="0.2">
      <c r="A116" s="26">
        <v>43556</v>
      </c>
      <c r="B116" s="16">
        <v>68402244</v>
      </c>
      <c r="C116" s="16">
        <v>46243905</v>
      </c>
      <c r="D116" s="16">
        <v>22158339</v>
      </c>
      <c r="E116" s="16">
        <v>20068934</v>
      </c>
      <c r="F116" s="16">
        <v>2089405</v>
      </c>
      <c r="G116" s="16">
        <v>25163304</v>
      </c>
      <c r="H116" s="16">
        <v>17265109</v>
      </c>
      <c r="I116" s="16">
        <v>7898195</v>
      </c>
      <c r="J116" s="16">
        <v>7286709</v>
      </c>
      <c r="K116" s="16">
        <v>611486</v>
      </c>
      <c r="L116" s="16">
        <v>9739462</v>
      </c>
      <c r="M116" s="16">
        <v>6553861</v>
      </c>
      <c r="N116" s="16">
        <v>3185601</v>
      </c>
      <c r="O116" s="16">
        <v>2840135</v>
      </c>
      <c r="P116" s="16">
        <v>345466</v>
      </c>
      <c r="Q116" s="16">
        <v>10059282</v>
      </c>
      <c r="R116" s="16">
        <v>6710785</v>
      </c>
      <c r="S116" s="16">
        <v>3348497</v>
      </c>
      <c r="T116" s="16">
        <v>2979295</v>
      </c>
      <c r="U116" s="16">
        <v>369202</v>
      </c>
      <c r="V116" s="16">
        <v>1738061</v>
      </c>
      <c r="W116" s="16">
        <v>1131228</v>
      </c>
      <c r="X116" s="16">
        <v>606833</v>
      </c>
      <c r="Y116" s="16">
        <v>526664</v>
      </c>
      <c r="Z116" s="16">
        <v>80169</v>
      </c>
      <c r="AA116" s="16">
        <v>12560730</v>
      </c>
      <c r="AB116" s="16">
        <v>8279696</v>
      </c>
      <c r="AC116" s="16">
        <v>4281034</v>
      </c>
      <c r="AD116" s="16">
        <v>3862427</v>
      </c>
      <c r="AE116" s="16">
        <v>418607</v>
      </c>
      <c r="AF116" s="16">
        <v>3877805</v>
      </c>
      <c r="AG116" s="16">
        <v>2625029</v>
      </c>
      <c r="AH116" s="16">
        <v>1252776</v>
      </c>
      <c r="AI116" s="16">
        <v>1140045</v>
      </c>
      <c r="AJ116" s="16">
        <v>112731</v>
      </c>
      <c r="AK116" s="19">
        <v>5263600</v>
      </c>
      <c r="AL116" s="19">
        <v>3678197</v>
      </c>
      <c r="AM116" s="19">
        <v>1585403</v>
      </c>
      <c r="AN116" s="19">
        <v>1433659</v>
      </c>
      <c r="AO116" s="19">
        <v>151744</v>
      </c>
    </row>
    <row r="117" spans="1:41" ht="13.5" customHeight="1" x14ac:dyDescent="0.2">
      <c r="A117" s="26">
        <v>43586</v>
      </c>
      <c r="B117" s="16">
        <v>69029236</v>
      </c>
      <c r="C117" s="16">
        <v>46389779</v>
      </c>
      <c r="D117" s="16">
        <v>22639457</v>
      </c>
      <c r="E117" s="16">
        <v>20454192</v>
      </c>
      <c r="F117" s="16">
        <v>2185265</v>
      </c>
      <c r="G117" s="16">
        <v>25258383</v>
      </c>
      <c r="H117" s="16">
        <v>17229329</v>
      </c>
      <c r="I117" s="16">
        <v>8029054</v>
      </c>
      <c r="J117" s="16">
        <v>7394573</v>
      </c>
      <c r="K117" s="16">
        <v>634481</v>
      </c>
      <c r="L117" s="16">
        <v>9815380</v>
      </c>
      <c r="M117" s="16">
        <v>6578022</v>
      </c>
      <c r="N117" s="16">
        <v>3237358</v>
      </c>
      <c r="O117" s="16">
        <v>2880167</v>
      </c>
      <c r="P117" s="16">
        <v>357191</v>
      </c>
      <c r="Q117" s="16">
        <v>10169222</v>
      </c>
      <c r="R117" s="16">
        <v>6726298</v>
      </c>
      <c r="S117" s="16">
        <v>3442924</v>
      </c>
      <c r="T117" s="16">
        <v>3054142</v>
      </c>
      <c r="U117" s="16">
        <v>388782</v>
      </c>
      <c r="V117" s="16">
        <v>1757627</v>
      </c>
      <c r="W117" s="16">
        <v>1131317</v>
      </c>
      <c r="X117" s="16">
        <v>626310</v>
      </c>
      <c r="Y117" s="16">
        <v>541473</v>
      </c>
      <c r="Z117" s="16">
        <v>84837</v>
      </c>
      <c r="AA117" s="16">
        <v>12650574</v>
      </c>
      <c r="AB117" s="16">
        <v>8272280</v>
      </c>
      <c r="AC117" s="16">
        <v>4378294</v>
      </c>
      <c r="AD117" s="16">
        <v>3936384</v>
      </c>
      <c r="AE117" s="16">
        <v>441910</v>
      </c>
      <c r="AF117" s="16">
        <v>3920771</v>
      </c>
      <c r="AG117" s="16">
        <v>2647296</v>
      </c>
      <c r="AH117" s="16">
        <v>1273475</v>
      </c>
      <c r="AI117" s="16">
        <v>1154542</v>
      </c>
      <c r="AJ117" s="16">
        <v>118933</v>
      </c>
      <c r="AK117" s="19">
        <v>5457279</v>
      </c>
      <c r="AL117" s="19">
        <v>3805237</v>
      </c>
      <c r="AM117" s="19">
        <v>1652042</v>
      </c>
      <c r="AN117" s="19">
        <v>1492911</v>
      </c>
      <c r="AO117" s="19">
        <v>159131</v>
      </c>
    </row>
    <row r="118" spans="1:41" ht="13.5" customHeight="1" x14ac:dyDescent="0.2">
      <c r="A118" s="26">
        <v>43617</v>
      </c>
      <c r="B118" s="16">
        <v>65651450</v>
      </c>
      <c r="C118" s="16">
        <v>46705593</v>
      </c>
      <c r="D118" s="16">
        <v>18945857</v>
      </c>
      <c r="E118" s="16">
        <v>16992842</v>
      </c>
      <c r="F118" s="16">
        <v>1953015</v>
      </c>
      <c r="G118" s="16">
        <v>24019225</v>
      </c>
      <c r="H118" s="16">
        <v>17346284</v>
      </c>
      <c r="I118" s="16">
        <v>6672941</v>
      </c>
      <c r="J118" s="16">
        <v>6095733</v>
      </c>
      <c r="K118" s="16">
        <v>577208</v>
      </c>
      <c r="L118" s="16">
        <v>9274143</v>
      </c>
      <c r="M118" s="16">
        <v>6536967</v>
      </c>
      <c r="N118" s="16">
        <v>2737176</v>
      </c>
      <c r="O118" s="16">
        <v>2426097</v>
      </c>
      <c r="P118" s="16">
        <v>311079</v>
      </c>
      <c r="Q118" s="16">
        <v>9624907</v>
      </c>
      <c r="R118" s="16">
        <v>6766320</v>
      </c>
      <c r="S118" s="16">
        <v>2858587</v>
      </c>
      <c r="T118" s="16">
        <v>2507930</v>
      </c>
      <c r="U118" s="16">
        <v>350657</v>
      </c>
      <c r="V118" s="16">
        <v>1668402</v>
      </c>
      <c r="W118" s="16">
        <v>1137280</v>
      </c>
      <c r="X118" s="16">
        <v>531122</v>
      </c>
      <c r="Y118" s="16">
        <v>453498</v>
      </c>
      <c r="Z118" s="16">
        <v>77624</v>
      </c>
      <c r="AA118" s="16">
        <v>11947344</v>
      </c>
      <c r="AB118" s="16">
        <v>8314596</v>
      </c>
      <c r="AC118" s="16">
        <v>3632748</v>
      </c>
      <c r="AD118" s="16">
        <v>3254345</v>
      </c>
      <c r="AE118" s="16">
        <v>378403</v>
      </c>
      <c r="AF118" s="16">
        <v>3738261</v>
      </c>
      <c r="AG118" s="16">
        <v>2676694</v>
      </c>
      <c r="AH118" s="16">
        <v>1061567</v>
      </c>
      <c r="AI118" s="16">
        <v>951358</v>
      </c>
      <c r="AJ118" s="16">
        <v>110209</v>
      </c>
      <c r="AK118" s="19">
        <v>5379168</v>
      </c>
      <c r="AL118" s="19">
        <v>3927452</v>
      </c>
      <c r="AM118" s="19">
        <v>1451716</v>
      </c>
      <c r="AN118" s="19">
        <v>1303881</v>
      </c>
      <c r="AO118" s="19">
        <v>147835</v>
      </c>
    </row>
    <row r="119" spans="1:41" ht="13.5" customHeight="1" x14ac:dyDescent="0.2">
      <c r="A119" s="26">
        <v>43647</v>
      </c>
      <c r="B119" s="16">
        <v>65657798</v>
      </c>
      <c r="C119" s="16">
        <v>48429667</v>
      </c>
      <c r="D119" s="16">
        <v>17228131</v>
      </c>
      <c r="E119" s="16">
        <v>15135030</v>
      </c>
      <c r="F119" s="16">
        <v>2093101</v>
      </c>
      <c r="G119" s="16">
        <v>24001288</v>
      </c>
      <c r="H119" s="16">
        <v>18116528</v>
      </c>
      <c r="I119" s="16">
        <v>5884760</v>
      </c>
      <c r="J119" s="16">
        <v>5264353</v>
      </c>
      <c r="K119" s="16">
        <v>620407</v>
      </c>
      <c r="L119" s="16">
        <v>9166777</v>
      </c>
      <c r="M119" s="16">
        <v>6712066</v>
      </c>
      <c r="N119" s="16">
        <v>2454711</v>
      </c>
      <c r="O119" s="16">
        <v>2131719</v>
      </c>
      <c r="P119" s="16">
        <v>322992</v>
      </c>
      <c r="Q119" s="16">
        <v>9642267</v>
      </c>
      <c r="R119" s="16">
        <v>6929479</v>
      </c>
      <c r="S119" s="16">
        <v>2712788</v>
      </c>
      <c r="T119" s="16">
        <v>2331171</v>
      </c>
      <c r="U119" s="16">
        <v>381617</v>
      </c>
      <c r="V119" s="16">
        <v>1662785</v>
      </c>
      <c r="W119" s="16">
        <v>1163471</v>
      </c>
      <c r="X119" s="16">
        <v>499314</v>
      </c>
      <c r="Y119" s="16">
        <v>416508</v>
      </c>
      <c r="Z119" s="16">
        <v>82806</v>
      </c>
      <c r="AA119" s="16">
        <v>11872032</v>
      </c>
      <c r="AB119" s="16">
        <v>8581458</v>
      </c>
      <c r="AC119" s="16">
        <v>3290574</v>
      </c>
      <c r="AD119" s="16">
        <v>2887289</v>
      </c>
      <c r="AE119" s="16">
        <v>403285</v>
      </c>
      <c r="AF119" s="16">
        <v>3743768</v>
      </c>
      <c r="AG119" s="16">
        <v>2778250</v>
      </c>
      <c r="AH119" s="16">
        <v>965518</v>
      </c>
      <c r="AI119" s="16">
        <v>848042</v>
      </c>
      <c r="AJ119" s="16">
        <v>117476</v>
      </c>
      <c r="AK119" s="19">
        <v>5568881</v>
      </c>
      <c r="AL119" s="19">
        <v>4148415</v>
      </c>
      <c r="AM119" s="19">
        <v>1420466</v>
      </c>
      <c r="AN119" s="19">
        <v>1255948</v>
      </c>
      <c r="AO119" s="19">
        <v>164518</v>
      </c>
    </row>
    <row r="120" spans="1:41" ht="13.5" customHeight="1" x14ac:dyDescent="0.2">
      <c r="A120" s="26">
        <v>43678</v>
      </c>
      <c r="B120" s="16">
        <v>69943053</v>
      </c>
      <c r="C120" s="16">
        <v>48948070</v>
      </c>
      <c r="D120" s="16">
        <v>20994983</v>
      </c>
      <c r="E120" s="16">
        <v>18584157</v>
      </c>
      <c r="F120" s="16">
        <v>2410826</v>
      </c>
      <c r="G120" s="16">
        <v>25343910</v>
      </c>
      <c r="H120" s="16">
        <v>18069750</v>
      </c>
      <c r="I120" s="16">
        <v>7274160</v>
      </c>
      <c r="J120" s="16">
        <v>6569276</v>
      </c>
      <c r="K120" s="16">
        <v>704884</v>
      </c>
      <c r="L120" s="16">
        <v>9849475</v>
      </c>
      <c r="M120" s="16">
        <v>6840802</v>
      </c>
      <c r="N120" s="16">
        <v>3008673</v>
      </c>
      <c r="O120" s="16">
        <v>2624897</v>
      </c>
      <c r="P120" s="16">
        <v>383776</v>
      </c>
      <c r="Q120" s="16">
        <v>10224960</v>
      </c>
      <c r="R120" s="16">
        <v>7036960</v>
      </c>
      <c r="S120" s="16">
        <v>3188000</v>
      </c>
      <c r="T120" s="16">
        <v>2761768</v>
      </c>
      <c r="U120" s="16">
        <v>426232</v>
      </c>
      <c r="V120" s="16">
        <v>1767464</v>
      </c>
      <c r="W120" s="16">
        <v>1184352</v>
      </c>
      <c r="X120" s="16">
        <v>583112</v>
      </c>
      <c r="Y120" s="16">
        <v>490323</v>
      </c>
      <c r="Z120" s="16">
        <v>92789</v>
      </c>
      <c r="AA120" s="16">
        <v>12739933</v>
      </c>
      <c r="AB120" s="16">
        <v>8683087</v>
      </c>
      <c r="AC120" s="16">
        <v>4056846</v>
      </c>
      <c r="AD120" s="16">
        <v>3586567</v>
      </c>
      <c r="AE120" s="16">
        <v>470279</v>
      </c>
      <c r="AF120" s="16">
        <v>4067505</v>
      </c>
      <c r="AG120" s="16">
        <v>2857463</v>
      </c>
      <c r="AH120" s="16">
        <v>1210042</v>
      </c>
      <c r="AI120" s="16">
        <v>1072192</v>
      </c>
      <c r="AJ120" s="16">
        <v>137850</v>
      </c>
      <c r="AK120" s="19">
        <v>5949806</v>
      </c>
      <c r="AL120" s="19">
        <v>4275656</v>
      </c>
      <c r="AM120" s="19">
        <v>1674150</v>
      </c>
      <c r="AN120" s="19">
        <v>1479134</v>
      </c>
      <c r="AO120" s="19">
        <v>195016</v>
      </c>
    </row>
    <row r="121" spans="1:41" ht="13.5" customHeight="1" x14ac:dyDescent="0.2">
      <c r="A121" s="26">
        <v>43709</v>
      </c>
      <c r="B121" s="16">
        <v>60511217</v>
      </c>
      <c r="C121" s="16">
        <v>42262617</v>
      </c>
      <c r="D121" s="16">
        <v>18248600</v>
      </c>
      <c r="E121" s="16">
        <v>16130007</v>
      </c>
      <c r="F121" s="16">
        <v>2118593</v>
      </c>
      <c r="G121" s="16">
        <v>21578819</v>
      </c>
      <c r="H121" s="16">
        <v>15356817</v>
      </c>
      <c r="I121" s="16">
        <v>6222002</v>
      </c>
      <c r="J121" s="16">
        <v>5604509</v>
      </c>
      <c r="K121" s="16">
        <v>617493</v>
      </c>
      <c r="L121" s="16">
        <v>8735023</v>
      </c>
      <c r="M121" s="16">
        <v>6083994</v>
      </c>
      <c r="N121" s="16">
        <v>2651029</v>
      </c>
      <c r="O121" s="16">
        <v>2313160</v>
      </c>
      <c r="P121" s="16">
        <v>337869</v>
      </c>
      <c r="Q121" s="16">
        <v>8846671</v>
      </c>
      <c r="R121" s="16">
        <v>6064695</v>
      </c>
      <c r="S121" s="16">
        <v>2781976</v>
      </c>
      <c r="T121" s="16">
        <v>2407335</v>
      </c>
      <c r="U121" s="16">
        <v>374641</v>
      </c>
      <c r="V121" s="16">
        <v>1565928</v>
      </c>
      <c r="W121" s="16">
        <v>1045899</v>
      </c>
      <c r="X121" s="16">
        <v>520029</v>
      </c>
      <c r="Y121" s="16">
        <v>436286</v>
      </c>
      <c r="Z121" s="16">
        <v>83743</v>
      </c>
      <c r="AA121" s="16">
        <v>10988591</v>
      </c>
      <c r="AB121" s="16">
        <v>7470035</v>
      </c>
      <c r="AC121" s="16">
        <v>3518556</v>
      </c>
      <c r="AD121" s="16">
        <v>3108482</v>
      </c>
      <c r="AE121" s="16">
        <v>410074</v>
      </c>
      <c r="AF121" s="16">
        <v>3553082</v>
      </c>
      <c r="AG121" s="16">
        <v>2489917</v>
      </c>
      <c r="AH121" s="16">
        <v>1063165</v>
      </c>
      <c r="AI121" s="16">
        <v>941056</v>
      </c>
      <c r="AJ121" s="16">
        <v>122109</v>
      </c>
      <c r="AK121" s="19">
        <v>5243103</v>
      </c>
      <c r="AL121" s="19">
        <v>3751260</v>
      </c>
      <c r="AM121" s="19">
        <v>1491843</v>
      </c>
      <c r="AN121" s="19">
        <v>1319179</v>
      </c>
      <c r="AO121" s="19">
        <v>172664</v>
      </c>
    </row>
    <row r="122" spans="1:41" ht="13.5" customHeight="1" x14ac:dyDescent="0.2">
      <c r="A122" s="26">
        <v>43739</v>
      </c>
      <c r="B122" s="16">
        <v>48853879</v>
      </c>
      <c r="C122" s="16">
        <v>34286593</v>
      </c>
      <c r="D122" s="16">
        <v>14567286</v>
      </c>
      <c r="E122" s="16">
        <v>12883943</v>
      </c>
      <c r="F122" s="16">
        <v>1683343</v>
      </c>
      <c r="G122" s="16">
        <v>19043423</v>
      </c>
      <c r="H122" s="16">
        <v>13730860</v>
      </c>
      <c r="I122" s="16">
        <v>5312563</v>
      </c>
      <c r="J122" s="16">
        <v>4776979</v>
      </c>
      <c r="K122" s="16">
        <v>535584</v>
      </c>
      <c r="L122" s="16">
        <v>6755609</v>
      </c>
      <c r="M122" s="16">
        <v>4678484</v>
      </c>
      <c r="N122" s="16">
        <v>2077125</v>
      </c>
      <c r="O122" s="16">
        <v>1815802</v>
      </c>
      <c r="P122" s="16">
        <v>261323</v>
      </c>
      <c r="Q122" s="16">
        <v>6609057</v>
      </c>
      <c r="R122" s="16">
        <v>4530291</v>
      </c>
      <c r="S122" s="16">
        <v>2078766</v>
      </c>
      <c r="T122" s="16">
        <v>1799023</v>
      </c>
      <c r="U122" s="16">
        <v>279743</v>
      </c>
      <c r="V122" s="16">
        <v>1094228</v>
      </c>
      <c r="W122" s="16">
        <v>720704</v>
      </c>
      <c r="X122" s="16">
        <v>373524</v>
      </c>
      <c r="Y122" s="16">
        <v>313432</v>
      </c>
      <c r="Z122" s="16">
        <v>60092</v>
      </c>
      <c r="AA122" s="16">
        <v>8121031</v>
      </c>
      <c r="AB122" s="16">
        <v>5483525</v>
      </c>
      <c r="AC122" s="16">
        <v>2637506</v>
      </c>
      <c r="AD122" s="16">
        <v>2332013</v>
      </c>
      <c r="AE122" s="16">
        <v>305493</v>
      </c>
      <c r="AF122" s="16">
        <v>2918430</v>
      </c>
      <c r="AG122" s="16">
        <v>2055445</v>
      </c>
      <c r="AH122" s="16">
        <v>862985</v>
      </c>
      <c r="AI122" s="16">
        <v>762705</v>
      </c>
      <c r="AJ122" s="16">
        <v>100280</v>
      </c>
      <c r="AK122" s="19">
        <v>4312101</v>
      </c>
      <c r="AL122" s="19">
        <v>3087284</v>
      </c>
      <c r="AM122" s="19">
        <v>1224817</v>
      </c>
      <c r="AN122" s="19">
        <v>1083989</v>
      </c>
      <c r="AO122" s="19">
        <v>140828</v>
      </c>
    </row>
    <row r="123" spans="1:41" ht="13.5" customHeight="1" x14ac:dyDescent="0.2">
      <c r="A123" s="26">
        <v>43770</v>
      </c>
      <c r="B123" s="16">
        <v>36798177</v>
      </c>
      <c r="C123" s="16">
        <v>27531856</v>
      </c>
      <c r="D123" s="16">
        <v>9266321</v>
      </c>
      <c r="E123" s="16">
        <v>8011073</v>
      </c>
      <c r="F123" s="16">
        <v>1255248</v>
      </c>
      <c r="G123" s="16">
        <v>15788122</v>
      </c>
      <c r="H123" s="16">
        <v>12069585</v>
      </c>
      <c r="I123" s="16">
        <v>3718537</v>
      </c>
      <c r="J123" s="16">
        <v>3254328</v>
      </c>
      <c r="K123" s="16">
        <v>464209</v>
      </c>
      <c r="L123" s="16">
        <v>6283071</v>
      </c>
      <c r="M123" s="16">
        <v>4579645</v>
      </c>
      <c r="N123" s="16">
        <v>1703426</v>
      </c>
      <c r="O123" s="16">
        <v>1457258</v>
      </c>
      <c r="P123" s="16">
        <v>246168</v>
      </c>
      <c r="Q123" s="16">
        <v>4006495</v>
      </c>
      <c r="R123" s="16">
        <v>2953584</v>
      </c>
      <c r="S123" s="16">
        <v>1052911</v>
      </c>
      <c r="T123" s="16">
        <v>888903</v>
      </c>
      <c r="U123" s="16">
        <v>164008</v>
      </c>
      <c r="V123" s="16">
        <v>85264</v>
      </c>
      <c r="W123" s="16">
        <v>58545</v>
      </c>
      <c r="X123" s="16">
        <v>26719</v>
      </c>
      <c r="Y123" s="16">
        <v>21459</v>
      </c>
      <c r="Z123" s="16">
        <v>5260</v>
      </c>
      <c r="AA123" s="16">
        <v>4237254</v>
      </c>
      <c r="AB123" s="16">
        <v>3093884</v>
      </c>
      <c r="AC123" s="16">
        <v>1143370</v>
      </c>
      <c r="AD123" s="16">
        <v>988924</v>
      </c>
      <c r="AE123" s="16">
        <v>154446</v>
      </c>
      <c r="AF123" s="16">
        <v>2303354</v>
      </c>
      <c r="AG123" s="16">
        <v>1703018</v>
      </c>
      <c r="AH123" s="16">
        <v>600336</v>
      </c>
      <c r="AI123" s="16">
        <v>517612</v>
      </c>
      <c r="AJ123" s="16">
        <v>82724</v>
      </c>
      <c r="AK123" s="19">
        <v>4094617</v>
      </c>
      <c r="AL123" s="19">
        <v>3073595</v>
      </c>
      <c r="AM123" s="19">
        <v>1021022</v>
      </c>
      <c r="AN123" s="19">
        <v>882589</v>
      </c>
      <c r="AO123" s="19">
        <v>138433</v>
      </c>
    </row>
    <row r="124" spans="1:41" ht="13.5" customHeight="1" x14ac:dyDescent="0.2">
      <c r="A124" s="26">
        <v>43800</v>
      </c>
      <c r="B124" s="16">
        <v>48407618</v>
      </c>
      <c r="C124" s="16">
        <v>35858961</v>
      </c>
      <c r="D124" s="16">
        <v>12548657</v>
      </c>
      <c r="E124" s="16">
        <v>10783295</v>
      </c>
      <c r="F124" s="16">
        <v>1765362</v>
      </c>
      <c r="G124" s="16">
        <v>19407793</v>
      </c>
      <c r="H124" s="16">
        <v>14767087</v>
      </c>
      <c r="I124" s="16">
        <v>4640706</v>
      </c>
      <c r="J124" s="16">
        <v>4045778</v>
      </c>
      <c r="K124" s="16">
        <v>594928</v>
      </c>
      <c r="L124" s="16">
        <v>7760053</v>
      </c>
      <c r="M124" s="16">
        <v>5652939</v>
      </c>
      <c r="N124" s="16">
        <v>2107114</v>
      </c>
      <c r="O124" s="16">
        <v>1791598</v>
      </c>
      <c r="P124" s="16">
        <v>315516</v>
      </c>
      <c r="Q124" s="16">
        <v>6635308</v>
      </c>
      <c r="R124" s="16">
        <v>4761641</v>
      </c>
      <c r="S124" s="16">
        <v>1873667</v>
      </c>
      <c r="T124" s="16">
        <v>1572598</v>
      </c>
      <c r="U124" s="16">
        <v>301069</v>
      </c>
      <c r="V124" s="16">
        <v>744817</v>
      </c>
      <c r="W124" s="16">
        <v>512891</v>
      </c>
      <c r="X124" s="16">
        <v>231926</v>
      </c>
      <c r="Y124" s="16">
        <v>187244</v>
      </c>
      <c r="Z124" s="16">
        <v>44682</v>
      </c>
      <c r="AA124" s="16">
        <v>5955741</v>
      </c>
      <c r="AB124" s="16">
        <v>4297663</v>
      </c>
      <c r="AC124" s="16">
        <v>1658078</v>
      </c>
      <c r="AD124" s="16">
        <v>1424024</v>
      </c>
      <c r="AE124" s="16">
        <v>234054</v>
      </c>
      <c r="AF124" s="16">
        <v>2859940</v>
      </c>
      <c r="AG124" s="16">
        <v>2089168</v>
      </c>
      <c r="AH124" s="16">
        <v>770772</v>
      </c>
      <c r="AI124" s="16">
        <v>664367</v>
      </c>
      <c r="AJ124" s="16">
        <v>106405</v>
      </c>
      <c r="AK124" s="19">
        <v>5043966</v>
      </c>
      <c r="AL124" s="19">
        <v>3777572</v>
      </c>
      <c r="AM124" s="19">
        <v>1266394</v>
      </c>
      <c r="AN124" s="19">
        <v>1097686</v>
      </c>
      <c r="AO124" s="19">
        <v>168708</v>
      </c>
    </row>
    <row r="125" spans="1:41" ht="13.5" customHeight="1" x14ac:dyDescent="0.2">
      <c r="A125" s="26">
        <v>43831</v>
      </c>
      <c r="B125" s="16">
        <v>48351371</v>
      </c>
      <c r="C125" s="16">
        <v>35928647</v>
      </c>
      <c r="D125" s="16">
        <v>12422724</v>
      </c>
      <c r="E125" s="16">
        <v>10663068</v>
      </c>
      <c r="F125" s="16">
        <v>1759656</v>
      </c>
      <c r="G125" s="16">
        <v>19585707</v>
      </c>
      <c r="H125" s="16">
        <v>14942531</v>
      </c>
      <c r="I125" s="16">
        <v>4643176</v>
      </c>
      <c r="J125" s="16">
        <v>4045850</v>
      </c>
      <c r="K125" s="16">
        <v>597326</v>
      </c>
      <c r="L125" s="16">
        <v>7414794</v>
      </c>
      <c r="M125" s="16">
        <v>5431626</v>
      </c>
      <c r="N125" s="16">
        <v>1983168</v>
      </c>
      <c r="O125" s="16">
        <v>1683221</v>
      </c>
      <c r="P125" s="16">
        <v>299947</v>
      </c>
      <c r="Q125" s="16">
        <v>6671016</v>
      </c>
      <c r="R125" s="16">
        <v>4787052</v>
      </c>
      <c r="S125" s="16">
        <v>1883964</v>
      </c>
      <c r="T125" s="16">
        <v>1577686</v>
      </c>
      <c r="U125" s="16">
        <v>306278</v>
      </c>
      <c r="V125" s="16">
        <v>819380</v>
      </c>
      <c r="W125" s="16">
        <v>565056</v>
      </c>
      <c r="X125" s="16">
        <v>254324</v>
      </c>
      <c r="Y125" s="16">
        <v>204577</v>
      </c>
      <c r="Z125" s="16">
        <v>49747</v>
      </c>
      <c r="AA125" s="16">
        <v>6002742</v>
      </c>
      <c r="AB125" s="16">
        <v>4364155</v>
      </c>
      <c r="AC125" s="16">
        <v>1638587</v>
      </c>
      <c r="AD125" s="16">
        <v>1401862</v>
      </c>
      <c r="AE125" s="16">
        <v>236725</v>
      </c>
      <c r="AF125" s="16">
        <v>2854934</v>
      </c>
      <c r="AG125" s="16">
        <v>2097170</v>
      </c>
      <c r="AH125" s="16">
        <v>757764</v>
      </c>
      <c r="AI125" s="16">
        <v>650531</v>
      </c>
      <c r="AJ125" s="16">
        <v>107233</v>
      </c>
      <c r="AK125" s="16">
        <v>5002798</v>
      </c>
      <c r="AL125" s="16">
        <v>3741057</v>
      </c>
      <c r="AM125" s="16">
        <v>1261741</v>
      </c>
      <c r="AN125" s="16">
        <v>1099341</v>
      </c>
      <c r="AO125" s="16">
        <v>162400</v>
      </c>
    </row>
    <row r="126" spans="1:41" ht="13.5" customHeight="1" x14ac:dyDescent="0.2">
      <c r="A126" s="26">
        <v>43862</v>
      </c>
      <c r="B126" s="16">
        <v>40507069</v>
      </c>
      <c r="C126" s="16">
        <v>30393519</v>
      </c>
      <c r="D126" s="16">
        <v>10113550</v>
      </c>
      <c r="E126" s="16">
        <v>8576699</v>
      </c>
      <c r="F126" s="16">
        <v>1536851</v>
      </c>
      <c r="G126" s="16">
        <v>16262041</v>
      </c>
      <c r="H126" s="16">
        <v>12517359</v>
      </c>
      <c r="I126" s="16">
        <v>3744682</v>
      </c>
      <c r="J126" s="16">
        <v>3228409</v>
      </c>
      <c r="K126" s="16">
        <v>516273</v>
      </c>
      <c r="L126" s="16">
        <v>6351220</v>
      </c>
      <c r="M126" s="16">
        <v>4705989</v>
      </c>
      <c r="N126" s="16">
        <v>1645231</v>
      </c>
      <c r="O126" s="16">
        <v>1379758</v>
      </c>
      <c r="P126" s="16">
        <v>265473</v>
      </c>
      <c r="Q126" s="16">
        <v>5542429</v>
      </c>
      <c r="R126" s="16">
        <v>3984876</v>
      </c>
      <c r="S126" s="16">
        <v>1557553</v>
      </c>
      <c r="T126" s="16">
        <v>1291006</v>
      </c>
      <c r="U126" s="16">
        <v>266547</v>
      </c>
      <c r="V126" s="16">
        <v>703635</v>
      </c>
      <c r="W126" s="16">
        <v>487438</v>
      </c>
      <c r="X126" s="16">
        <v>216197</v>
      </c>
      <c r="Y126" s="16">
        <v>170732</v>
      </c>
      <c r="Z126" s="16">
        <v>45465</v>
      </c>
      <c r="AA126" s="16">
        <v>5024553</v>
      </c>
      <c r="AB126" s="16">
        <v>3707079</v>
      </c>
      <c r="AC126" s="16">
        <v>1317474</v>
      </c>
      <c r="AD126" s="16">
        <v>1110205</v>
      </c>
      <c r="AE126" s="16">
        <v>207269</v>
      </c>
      <c r="AF126" s="16">
        <v>2402363</v>
      </c>
      <c r="AG126" s="16">
        <v>1778786</v>
      </c>
      <c r="AH126" s="16">
        <v>623577</v>
      </c>
      <c r="AI126" s="16">
        <v>531026</v>
      </c>
      <c r="AJ126" s="16">
        <v>92551</v>
      </c>
      <c r="AK126" s="16">
        <v>4220828</v>
      </c>
      <c r="AL126" s="16">
        <v>3211992</v>
      </c>
      <c r="AM126" s="16">
        <v>1008836</v>
      </c>
      <c r="AN126" s="16">
        <v>865563</v>
      </c>
      <c r="AO126" s="16">
        <v>143273</v>
      </c>
    </row>
    <row r="127" spans="1:41" ht="13.5" customHeight="1" x14ac:dyDescent="0.2">
      <c r="A127" s="26">
        <v>43891</v>
      </c>
      <c r="B127" s="16">
        <v>31601114</v>
      </c>
      <c r="C127" s="16">
        <v>23325049</v>
      </c>
      <c r="D127" s="16">
        <v>8276065</v>
      </c>
      <c r="E127" s="16">
        <v>6961506</v>
      </c>
      <c r="F127" s="16">
        <v>1314559</v>
      </c>
      <c r="G127" s="16">
        <v>11902835</v>
      </c>
      <c r="H127" s="16">
        <v>8986510</v>
      </c>
      <c r="I127" s="16">
        <v>2916325</v>
      </c>
      <c r="J127" s="16">
        <v>2498999</v>
      </c>
      <c r="K127" s="16">
        <v>417326</v>
      </c>
      <c r="L127" s="16">
        <v>5176477</v>
      </c>
      <c r="M127" s="16">
        <v>3778445</v>
      </c>
      <c r="N127" s="16">
        <v>1398032</v>
      </c>
      <c r="O127" s="16">
        <v>1156951</v>
      </c>
      <c r="P127" s="16">
        <v>241081</v>
      </c>
      <c r="Q127" s="16">
        <v>4500615</v>
      </c>
      <c r="R127" s="16">
        <v>3240280</v>
      </c>
      <c r="S127" s="16">
        <v>1260335</v>
      </c>
      <c r="T127" s="16">
        <v>1033873</v>
      </c>
      <c r="U127" s="16">
        <v>226462</v>
      </c>
      <c r="V127" s="16">
        <v>603811</v>
      </c>
      <c r="W127" s="16">
        <v>417719</v>
      </c>
      <c r="X127" s="16">
        <v>186092</v>
      </c>
      <c r="Y127" s="16">
        <v>145488</v>
      </c>
      <c r="Z127" s="16">
        <v>40604</v>
      </c>
      <c r="AA127" s="16">
        <v>3938337</v>
      </c>
      <c r="AB127" s="16">
        <v>2833563</v>
      </c>
      <c r="AC127" s="16">
        <v>1104774</v>
      </c>
      <c r="AD127" s="16">
        <v>932083</v>
      </c>
      <c r="AE127" s="16">
        <v>172691</v>
      </c>
      <c r="AF127" s="16">
        <v>2138857</v>
      </c>
      <c r="AG127" s="16">
        <v>1567363</v>
      </c>
      <c r="AH127" s="16">
        <v>571494</v>
      </c>
      <c r="AI127" s="16">
        <v>483301</v>
      </c>
      <c r="AJ127" s="16">
        <v>88193</v>
      </c>
      <c r="AK127" s="16">
        <v>3340182</v>
      </c>
      <c r="AL127" s="16">
        <v>2501169</v>
      </c>
      <c r="AM127" s="16">
        <v>839013</v>
      </c>
      <c r="AN127" s="16">
        <v>710811</v>
      </c>
      <c r="AO127" s="16">
        <v>128202</v>
      </c>
    </row>
    <row r="128" spans="1:41" ht="13.5" customHeight="1" x14ac:dyDescent="0.2">
      <c r="A128" s="26">
        <v>43922</v>
      </c>
      <c r="B128" s="16">
        <v>8943365</v>
      </c>
      <c r="C128" s="16">
        <v>6946639</v>
      </c>
      <c r="D128" s="16">
        <v>1996726</v>
      </c>
      <c r="E128" s="16">
        <v>1523480</v>
      </c>
      <c r="F128" s="16">
        <v>473246</v>
      </c>
      <c r="G128" s="16">
        <v>2659626</v>
      </c>
      <c r="H128" s="16">
        <v>2100398</v>
      </c>
      <c r="I128" s="16">
        <v>559228</v>
      </c>
      <c r="J128" s="16">
        <v>432895</v>
      </c>
      <c r="K128" s="16">
        <v>126333</v>
      </c>
      <c r="L128" s="16">
        <v>1892192</v>
      </c>
      <c r="M128" s="16">
        <v>1463171</v>
      </c>
      <c r="N128" s="16">
        <v>429021</v>
      </c>
      <c r="O128" s="16">
        <v>329969</v>
      </c>
      <c r="P128" s="16">
        <v>99052</v>
      </c>
      <c r="Q128" s="16">
        <v>1358865</v>
      </c>
      <c r="R128" s="16">
        <v>1016272</v>
      </c>
      <c r="S128" s="16">
        <v>342593</v>
      </c>
      <c r="T128" s="16">
        <v>251810</v>
      </c>
      <c r="U128" s="16">
        <v>90783</v>
      </c>
      <c r="V128" s="16">
        <v>250750</v>
      </c>
      <c r="W128" s="16">
        <v>181786</v>
      </c>
      <c r="X128" s="16">
        <v>68964</v>
      </c>
      <c r="Y128" s="16">
        <v>48600</v>
      </c>
      <c r="Z128" s="16">
        <v>20364</v>
      </c>
      <c r="AA128" s="16">
        <v>1211601</v>
      </c>
      <c r="AB128" s="16">
        <v>940234</v>
      </c>
      <c r="AC128" s="16">
        <v>271367</v>
      </c>
      <c r="AD128" s="16">
        <v>208568</v>
      </c>
      <c r="AE128" s="16">
        <v>62799</v>
      </c>
      <c r="AF128" s="16">
        <v>615366</v>
      </c>
      <c r="AG128" s="16">
        <v>480535</v>
      </c>
      <c r="AH128" s="16">
        <v>134831</v>
      </c>
      <c r="AI128" s="16">
        <v>103033</v>
      </c>
      <c r="AJ128" s="16">
        <v>31798</v>
      </c>
      <c r="AK128" s="16">
        <v>954965</v>
      </c>
      <c r="AL128" s="16">
        <v>764243</v>
      </c>
      <c r="AM128" s="16">
        <v>190722</v>
      </c>
      <c r="AN128" s="16">
        <v>148605</v>
      </c>
      <c r="AO128" s="16">
        <v>42117</v>
      </c>
    </row>
    <row r="129" spans="1:41" ht="13.5" customHeight="1" x14ac:dyDescent="0.2">
      <c r="A129" s="26">
        <v>43952</v>
      </c>
      <c r="B129" s="16">
        <v>7725736</v>
      </c>
      <c r="C129" s="16">
        <v>5997228</v>
      </c>
      <c r="D129" s="16">
        <v>1728508</v>
      </c>
      <c r="E129" s="16">
        <v>1317549</v>
      </c>
      <c r="F129" s="16">
        <v>410959</v>
      </c>
      <c r="G129" s="16">
        <v>2470577</v>
      </c>
      <c r="H129" s="16">
        <v>1949947</v>
      </c>
      <c r="I129" s="16">
        <v>520630</v>
      </c>
      <c r="J129" s="16">
        <v>402320</v>
      </c>
      <c r="K129" s="16">
        <v>118310</v>
      </c>
      <c r="L129" s="16">
        <v>1445453</v>
      </c>
      <c r="M129" s="16">
        <v>1119741</v>
      </c>
      <c r="N129" s="16">
        <v>325712</v>
      </c>
      <c r="O129" s="16">
        <v>248101</v>
      </c>
      <c r="P129" s="16">
        <v>77611</v>
      </c>
      <c r="Q129" s="16">
        <v>1169817</v>
      </c>
      <c r="R129" s="16">
        <v>866119</v>
      </c>
      <c r="S129" s="16">
        <v>303698</v>
      </c>
      <c r="T129" s="16">
        <v>223912</v>
      </c>
      <c r="U129" s="16">
        <v>79786</v>
      </c>
      <c r="V129" s="16">
        <v>189058</v>
      </c>
      <c r="W129" s="16">
        <v>136467</v>
      </c>
      <c r="X129" s="16">
        <v>52591</v>
      </c>
      <c r="Y129" s="16">
        <v>37065</v>
      </c>
      <c r="Z129" s="16">
        <v>15526</v>
      </c>
      <c r="AA129" s="16">
        <v>1079652</v>
      </c>
      <c r="AB129" s="16">
        <v>837566</v>
      </c>
      <c r="AC129" s="16">
        <v>242086</v>
      </c>
      <c r="AD129" s="16">
        <v>186513</v>
      </c>
      <c r="AE129" s="16">
        <v>55573</v>
      </c>
      <c r="AF129" s="16">
        <v>540861</v>
      </c>
      <c r="AG129" s="16">
        <v>422713</v>
      </c>
      <c r="AH129" s="16">
        <v>118148</v>
      </c>
      <c r="AI129" s="16">
        <v>90430</v>
      </c>
      <c r="AJ129" s="16">
        <v>27718</v>
      </c>
      <c r="AK129" s="16">
        <v>830318</v>
      </c>
      <c r="AL129" s="16">
        <v>664675</v>
      </c>
      <c r="AM129" s="16">
        <v>165643</v>
      </c>
      <c r="AN129" s="16">
        <v>129208</v>
      </c>
      <c r="AO129" s="16">
        <v>36435</v>
      </c>
    </row>
    <row r="130" spans="1:41" ht="13.5" customHeight="1" x14ac:dyDescent="0.2">
      <c r="A130" s="26">
        <v>43983</v>
      </c>
      <c r="B130" s="16">
        <v>6648833</v>
      </c>
      <c r="C130" s="16">
        <v>5155651</v>
      </c>
      <c r="D130" s="16">
        <v>1493182</v>
      </c>
      <c r="E130" s="16">
        <v>1125724</v>
      </c>
      <c r="F130" s="16">
        <v>367458</v>
      </c>
      <c r="G130" s="16">
        <v>2035001</v>
      </c>
      <c r="H130" s="16">
        <v>1600061</v>
      </c>
      <c r="I130" s="16">
        <v>434940</v>
      </c>
      <c r="J130" s="16">
        <v>333352</v>
      </c>
      <c r="K130" s="16">
        <v>101588</v>
      </c>
      <c r="L130" s="16">
        <v>1295220</v>
      </c>
      <c r="M130" s="16">
        <v>1005992</v>
      </c>
      <c r="N130" s="16">
        <v>289228</v>
      </c>
      <c r="O130" s="16">
        <v>216816</v>
      </c>
      <c r="P130" s="16">
        <v>72412</v>
      </c>
      <c r="Q130" s="16">
        <v>964233</v>
      </c>
      <c r="R130" s="16">
        <v>708821</v>
      </c>
      <c r="S130" s="16">
        <v>255412</v>
      </c>
      <c r="T130" s="16">
        <v>186516</v>
      </c>
      <c r="U130" s="16">
        <v>68896</v>
      </c>
      <c r="V130" s="16">
        <v>162841</v>
      </c>
      <c r="W130" s="16">
        <v>117653</v>
      </c>
      <c r="X130" s="16">
        <v>45188</v>
      </c>
      <c r="Y130" s="16">
        <v>31627</v>
      </c>
      <c r="Z130" s="16">
        <v>13561</v>
      </c>
      <c r="AA130" s="16">
        <v>980633</v>
      </c>
      <c r="AB130" s="16">
        <v>761740</v>
      </c>
      <c r="AC130" s="16">
        <v>218893</v>
      </c>
      <c r="AD130" s="16">
        <v>166645</v>
      </c>
      <c r="AE130" s="16">
        <v>52248</v>
      </c>
      <c r="AF130" s="16">
        <v>450438</v>
      </c>
      <c r="AG130" s="16">
        <v>351671</v>
      </c>
      <c r="AH130" s="16">
        <v>98767</v>
      </c>
      <c r="AI130" s="16">
        <v>74607</v>
      </c>
      <c r="AJ130" s="16">
        <v>24160</v>
      </c>
      <c r="AK130" s="16">
        <v>760467</v>
      </c>
      <c r="AL130" s="16">
        <v>609713</v>
      </c>
      <c r="AM130" s="16">
        <v>150754</v>
      </c>
      <c r="AN130" s="16">
        <v>116161</v>
      </c>
      <c r="AO130" s="16">
        <v>34593</v>
      </c>
    </row>
    <row r="131" spans="1:41" ht="13.5" customHeight="1" x14ac:dyDescent="0.2">
      <c r="A131" s="26">
        <v>44013</v>
      </c>
      <c r="B131" s="16">
        <v>8058030</v>
      </c>
      <c r="C131" s="16">
        <v>6229320</v>
      </c>
      <c r="D131" s="16">
        <v>1828710</v>
      </c>
      <c r="E131" s="16">
        <v>1385896</v>
      </c>
      <c r="F131" s="16">
        <v>442814</v>
      </c>
      <c r="G131" s="16">
        <v>2462669</v>
      </c>
      <c r="H131" s="16">
        <v>1932492</v>
      </c>
      <c r="I131" s="16">
        <v>530177</v>
      </c>
      <c r="J131" s="16">
        <v>408374</v>
      </c>
      <c r="K131" s="16">
        <v>121803</v>
      </c>
      <c r="L131" s="16">
        <v>1561952</v>
      </c>
      <c r="M131" s="16">
        <v>1209081</v>
      </c>
      <c r="N131" s="16">
        <v>352871</v>
      </c>
      <c r="O131" s="16">
        <v>265533</v>
      </c>
      <c r="P131" s="16">
        <v>87338</v>
      </c>
      <c r="Q131" s="16">
        <v>1168808</v>
      </c>
      <c r="R131" s="16">
        <v>857589</v>
      </c>
      <c r="S131" s="16">
        <v>311219</v>
      </c>
      <c r="T131" s="16">
        <v>229354</v>
      </c>
      <c r="U131" s="16">
        <v>81865</v>
      </c>
      <c r="V131" s="16">
        <v>199400</v>
      </c>
      <c r="W131" s="16">
        <v>143919</v>
      </c>
      <c r="X131" s="16">
        <v>55481</v>
      </c>
      <c r="Y131" s="16">
        <v>38857</v>
      </c>
      <c r="Z131" s="16">
        <v>16624</v>
      </c>
      <c r="AA131" s="16">
        <v>1219224</v>
      </c>
      <c r="AB131" s="16">
        <v>943710</v>
      </c>
      <c r="AC131" s="16">
        <v>275514</v>
      </c>
      <c r="AD131" s="16">
        <v>210955</v>
      </c>
      <c r="AE131" s="16">
        <v>64559</v>
      </c>
      <c r="AF131" s="16">
        <v>537969</v>
      </c>
      <c r="AG131" s="16">
        <v>418624</v>
      </c>
      <c r="AH131" s="16">
        <v>119345</v>
      </c>
      <c r="AI131" s="16">
        <v>89881</v>
      </c>
      <c r="AJ131" s="16">
        <v>29464</v>
      </c>
      <c r="AK131" s="16">
        <v>908008</v>
      </c>
      <c r="AL131" s="16">
        <v>723905</v>
      </c>
      <c r="AM131" s="16">
        <v>184103</v>
      </c>
      <c r="AN131" s="16">
        <v>142942</v>
      </c>
      <c r="AO131" s="16">
        <v>41161</v>
      </c>
    </row>
    <row r="132" spans="1:41" ht="13.5" customHeight="1" x14ac:dyDescent="0.2">
      <c r="A132" s="26">
        <v>44044</v>
      </c>
      <c r="B132" s="16">
        <v>12181173</v>
      </c>
      <c r="C132" s="16">
        <v>9513934</v>
      </c>
      <c r="D132" s="16">
        <v>2667239</v>
      </c>
      <c r="E132" s="16">
        <v>2070574</v>
      </c>
      <c r="F132" s="16">
        <v>596665</v>
      </c>
      <c r="G132" s="16">
        <v>3901290</v>
      </c>
      <c r="H132" s="16">
        <v>3095423</v>
      </c>
      <c r="I132" s="16">
        <v>805867</v>
      </c>
      <c r="J132" s="16">
        <v>636236</v>
      </c>
      <c r="K132" s="16">
        <v>169631</v>
      </c>
      <c r="L132" s="16">
        <v>2147359</v>
      </c>
      <c r="M132" s="16">
        <v>1681922</v>
      </c>
      <c r="N132" s="16">
        <v>465437</v>
      </c>
      <c r="O132" s="16">
        <v>356542</v>
      </c>
      <c r="P132" s="16">
        <v>108895</v>
      </c>
      <c r="Q132" s="16">
        <v>1665804</v>
      </c>
      <c r="R132" s="16">
        <v>1239674</v>
      </c>
      <c r="S132" s="16">
        <v>426130</v>
      </c>
      <c r="T132" s="16">
        <v>322081</v>
      </c>
      <c r="U132" s="16">
        <v>104049</v>
      </c>
      <c r="V132" s="16">
        <v>307032</v>
      </c>
      <c r="W132" s="16">
        <v>225497</v>
      </c>
      <c r="X132" s="16">
        <v>81535</v>
      </c>
      <c r="Y132" s="16">
        <v>59242</v>
      </c>
      <c r="Z132" s="16">
        <v>22293</v>
      </c>
      <c r="AA132" s="16">
        <v>2035647</v>
      </c>
      <c r="AB132" s="16">
        <v>1585616</v>
      </c>
      <c r="AC132" s="16">
        <v>450031</v>
      </c>
      <c r="AD132" s="16">
        <v>352111</v>
      </c>
      <c r="AE132" s="16">
        <v>97920</v>
      </c>
      <c r="AF132" s="16">
        <v>790856</v>
      </c>
      <c r="AG132" s="16">
        <v>620939</v>
      </c>
      <c r="AH132" s="16">
        <v>169917</v>
      </c>
      <c r="AI132" s="16">
        <v>131611</v>
      </c>
      <c r="AJ132" s="16">
        <v>38306</v>
      </c>
      <c r="AK132" s="16">
        <v>1333185</v>
      </c>
      <c r="AL132" s="16">
        <v>1064863</v>
      </c>
      <c r="AM132" s="16">
        <v>268322</v>
      </c>
      <c r="AN132" s="16">
        <v>212751</v>
      </c>
      <c r="AO132" s="16">
        <v>55571</v>
      </c>
    </row>
    <row r="133" spans="1:41" ht="13.5" customHeight="1" x14ac:dyDescent="0.2">
      <c r="A133" s="26">
        <v>44075</v>
      </c>
      <c r="B133" s="16">
        <v>18001477</v>
      </c>
      <c r="C133" s="16">
        <v>14042105</v>
      </c>
      <c r="D133" s="16">
        <v>3959372</v>
      </c>
      <c r="E133" s="16">
        <v>3148193</v>
      </c>
      <c r="F133" s="16">
        <v>811179</v>
      </c>
      <c r="G133" s="16">
        <v>5765470</v>
      </c>
      <c r="H133" s="16">
        <v>4577809</v>
      </c>
      <c r="I133" s="16">
        <v>1187661</v>
      </c>
      <c r="J133" s="16">
        <v>954732</v>
      </c>
      <c r="K133" s="16">
        <v>232929</v>
      </c>
      <c r="L133" s="16">
        <v>2998208</v>
      </c>
      <c r="M133" s="16">
        <v>2345247</v>
      </c>
      <c r="N133" s="16">
        <v>652961</v>
      </c>
      <c r="O133" s="16">
        <v>514067</v>
      </c>
      <c r="P133" s="16">
        <v>138894</v>
      </c>
      <c r="Q133" s="16">
        <v>2532368</v>
      </c>
      <c r="R133" s="16">
        <v>1892471</v>
      </c>
      <c r="S133" s="16">
        <v>639897</v>
      </c>
      <c r="T133" s="16">
        <v>497218</v>
      </c>
      <c r="U133" s="16">
        <v>142679</v>
      </c>
      <c r="V133" s="16">
        <v>489695</v>
      </c>
      <c r="W133" s="16">
        <v>360339</v>
      </c>
      <c r="X133" s="16">
        <v>129356</v>
      </c>
      <c r="Y133" s="16">
        <v>97894</v>
      </c>
      <c r="Z133" s="16">
        <v>31462</v>
      </c>
      <c r="AA133" s="16">
        <v>3205613</v>
      </c>
      <c r="AB133" s="16">
        <v>2481075</v>
      </c>
      <c r="AC133" s="16">
        <v>724538</v>
      </c>
      <c r="AD133" s="16">
        <v>582697</v>
      </c>
      <c r="AE133" s="16">
        <v>141841</v>
      </c>
      <c r="AF133" s="16">
        <v>1148926</v>
      </c>
      <c r="AG133" s="16">
        <v>902279</v>
      </c>
      <c r="AH133" s="16">
        <v>246647</v>
      </c>
      <c r="AI133" s="16">
        <v>196150</v>
      </c>
      <c r="AJ133" s="16">
        <v>50497</v>
      </c>
      <c r="AK133" s="16">
        <v>1861197</v>
      </c>
      <c r="AL133" s="16">
        <v>1482885</v>
      </c>
      <c r="AM133" s="16">
        <v>378312</v>
      </c>
      <c r="AN133" s="16">
        <v>305435</v>
      </c>
      <c r="AO133" s="16">
        <v>72877</v>
      </c>
    </row>
    <row r="134" spans="1:41" ht="13.5" customHeight="1" x14ac:dyDescent="0.2">
      <c r="A134" s="26">
        <v>44105</v>
      </c>
      <c r="B134" s="16">
        <v>24287062</v>
      </c>
      <c r="C134" s="16">
        <v>18706053</v>
      </c>
      <c r="D134" s="16">
        <v>5581009</v>
      </c>
      <c r="E134" s="16">
        <v>4509599</v>
      </c>
      <c r="F134" s="16">
        <v>1071410</v>
      </c>
      <c r="G134" s="16">
        <v>7759523</v>
      </c>
      <c r="H134" s="16">
        <v>6090704</v>
      </c>
      <c r="I134" s="16">
        <v>1668819</v>
      </c>
      <c r="J134" s="16">
        <v>1363694</v>
      </c>
      <c r="K134" s="16">
        <v>305125</v>
      </c>
      <c r="L134" s="16">
        <v>3920706</v>
      </c>
      <c r="M134" s="16">
        <v>3035953</v>
      </c>
      <c r="N134" s="16">
        <v>884753</v>
      </c>
      <c r="O134" s="16">
        <v>707108</v>
      </c>
      <c r="P134" s="16">
        <v>177645</v>
      </c>
      <c r="Q134" s="16">
        <v>3621956</v>
      </c>
      <c r="R134" s="16">
        <v>2679074</v>
      </c>
      <c r="S134" s="16">
        <v>942882</v>
      </c>
      <c r="T134" s="16">
        <v>744430</v>
      </c>
      <c r="U134" s="16">
        <v>198452</v>
      </c>
      <c r="V134" s="16">
        <v>663622</v>
      </c>
      <c r="W134" s="16">
        <v>483644</v>
      </c>
      <c r="X134" s="16">
        <v>179978</v>
      </c>
      <c r="Y134" s="16">
        <v>137487</v>
      </c>
      <c r="Z134" s="16">
        <v>42491</v>
      </c>
      <c r="AA134" s="16">
        <v>4344977</v>
      </c>
      <c r="AB134" s="16">
        <v>3308469</v>
      </c>
      <c r="AC134" s="16">
        <v>1036508</v>
      </c>
      <c r="AD134" s="16">
        <v>847518</v>
      </c>
      <c r="AE134" s="16">
        <v>188990</v>
      </c>
      <c r="AF134" s="16">
        <v>1516011</v>
      </c>
      <c r="AG134" s="16">
        <v>1171756</v>
      </c>
      <c r="AH134" s="16">
        <v>344255</v>
      </c>
      <c r="AI134" s="16">
        <v>279525</v>
      </c>
      <c r="AJ134" s="16">
        <v>64730</v>
      </c>
      <c r="AK134" s="16">
        <v>2460267</v>
      </c>
      <c r="AL134" s="16">
        <v>1936453</v>
      </c>
      <c r="AM134" s="16">
        <v>523814</v>
      </c>
      <c r="AN134" s="16">
        <v>429837</v>
      </c>
      <c r="AO134" s="16">
        <v>93977</v>
      </c>
    </row>
    <row r="135" spans="1:41" ht="13.5" customHeight="1" x14ac:dyDescent="0.2">
      <c r="A135" s="26">
        <v>44136</v>
      </c>
      <c r="B135" s="16">
        <v>27185915</v>
      </c>
      <c r="C135" s="16">
        <v>20517111</v>
      </c>
      <c r="D135" s="16">
        <v>6668804</v>
      </c>
      <c r="E135" s="16">
        <v>5423047</v>
      </c>
      <c r="F135" s="16">
        <v>1245757</v>
      </c>
      <c r="G135" s="16">
        <v>8844879</v>
      </c>
      <c r="H135" s="16">
        <v>6810768</v>
      </c>
      <c r="I135" s="16">
        <v>2034111</v>
      </c>
      <c r="J135" s="16">
        <v>1678227</v>
      </c>
      <c r="K135" s="16">
        <v>355884</v>
      </c>
      <c r="L135" s="16">
        <v>4281546</v>
      </c>
      <c r="M135" s="16">
        <v>3254701</v>
      </c>
      <c r="N135" s="16">
        <v>1026845</v>
      </c>
      <c r="O135" s="16">
        <v>821856</v>
      </c>
      <c r="P135" s="16">
        <v>204989</v>
      </c>
      <c r="Q135" s="16">
        <v>4070021</v>
      </c>
      <c r="R135" s="16">
        <v>2941170</v>
      </c>
      <c r="S135" s="16">
        <v>1128851</v>
      </c>
      <c r="T135" s="16">
        <v>897044</v>
      </c>
      <c r="U135" s="16">
        <v>231807</v>
      </c>
      <c r="V135" s="16">
        <v>735475</v>
      </c>
      <c r="W135" s="16">
        <v>523561</v>
      </c>
      <c r="X135" s="16">
        <v>211914</v>
      </c>
      <c r="Y135" s="16">
        <v>162464</v>
      </c>
      <c r="Z135" s="16">
        <v>49450</v>
      </c>
      <c r="AA135" s="16">
        <v>4918703</v>
      </c>
      <c r="AB135" s="16">
        <v>3666378</v>
      </c>
      <c r="AC135" s="16">
        <v>1252325</v>
      </c>
      <c r="AD135" s="16">
        <v>1027926</v>
      </c>
      <c r="AE135" s="16">
        <v>224399</v>
      </c>
      <c r="AF135" s="16">
        <v>1648721</v>
      </c>
      <c r="AG135" s="16">
        <v>1245746</v>
      </c>
      <c r="AH135" s="16">
        <v>402975</v>
      </c>
      <c r="AI135" s="16">
        <v>331257</v>
      </c>
      <c r="AJ135" s="16">
        <v>71718</v>
      </c>
      <c r="AK135" s="16">
        <v>2686570</v>
      </c>
      <c r="AL135" s="16">
        <v>2074787</v>
      </c>
      <c r="AM135" s="16">
        <v>611783</v>
      </c>
      <c r="AN135" s="16">
        <v>504273</v>
      </c>
      <c r="AO135" s="16">
        <v>107510</v>
      </c>
    </row>
    <row r="136" spans="1:41" ht="13.5" customHeight="1" x14ac:dyDescent="0.2">
      <c r="A136" s="26">
        <v>44166</v>
      </c>
      <c r="B136" s="16">
        <v>28282624</v>
      </c>
      <c r="C136" s="16">
        <v>23235616</v>
      </c>
      <c r="D136" s="16">
        <v>5047008</v>
      </c>
      <c r="E136" s="16">
        <v>4058700</v>
      </c>
      <c r="F136" s="16">
        <v>988308</v>
      </c>
      <c r="G136" s="16">
        <v>9102635</v>
      </c>
      <c r="H136" s="16">
        <v>7586549</v>
      </c>
      <c r="I136" s="16">
        <v>1516086</v>
      </c>
      <c r="J136" s="16">
        <v>1232859</v>
      </c>
      <c r="K136" s="16">
        <v>283227</v>
      </c>
      <c r="L136" s="16">
        <v>4421744</v>
      </c>
      <c r="M136" s="16">
        <v>3650078</v>
      </c>
      <c r="N136" s="16">
        <v>771666</v>
      </c>
      <c r="O136" s="16">
        <v>611682</v>
      </c>
      <c r="P136" s="16">
        <v>159984</v>
      </c>
      <c r="Q136" s="16">
        <v>4244192</v>
      </c>
      <c r="R136" s="16">
        <v>3377456</v>
      </c>
      <c r="S136" s="16">
        <v>866736</v>
      </c>
      <c r="T136" s="16">
        <v>684344</v>
      </c>
      <c r="U136" s="16">
        <v>182392</v>
      </c>
      <c r="V136" s="16">
        <v>773606</v>
      </c>
      <c r="W136" s="16">
        <v>612237</v>
      </c>
      <c r="X136" s="16">
        <v>161369</v>
      </c>
      <c r="Y136" s="16">
        <v>123024</v>
      </c>
      <c r="Z136" s="16">
        <v>38345</v>
      </c>
      <c r="AA136" s="16">
        <v>5174867</v>
      </c>
      <c r="AB136" s="16">
        <v>4217815</v>
      </c>
      <c r="AC136" s="16">
        <v>957052</v>
      </c>
      <c r="AD136" s="16">
        <v>777781</v>
      </c>
      <c r="AE136" s="16">
        <v>179271</v>
      </c>
      <c r="AF136" s="16">
        <v>1709485</v>
      </c>
      <c r="AG136" s="16">
        <v>1407738</v>
      </c>
      <c r="AH136" s="16">
        <v>301747</v>
      </c>
      <c r="AI136" s="16">
        <v>243946</v>
      </c>
      <c r="AJ136" s="16">
        <v>57801</v>
      </c>
      <c r="AK136" s="16">
        <v>2856095</v>
      </c>
      <c r="AL136" s="16">
        <v>2383743</v>
      </c>
      <c r="AM136" s="16">
        <v>472352</v>
      </c>
      <c r="AN136" s="16">
        <v>385064</v>
      </c>
      <c r="AO136" s="16">
        <v>87288</v>
      </c>
    </row>
    <row r="137" spans="1:41" ht="13.5" customHeight="1" x14ac:dyDescent="0.2">
      <c r="A137" s="26">
        <v>44197</v>
      </c>
      <c r="B137" s="16">
        <v>24979972</v>
      </c>
      <c r="C137" s="16">
        <v>19666655</v>
      </c>
      <c r="D137" s="16">
        <v>5313317</v>
      </c>
      <c r="E137" s="16">
        <v>4424249</v>
      </c>
      <c r="F137" s="16">
        <v>889068</v>
      </c>
      <c r="G137" s="16">
        <v>8036879</v>
      </c>
      <c r="H137" s="16">
        <v>6425889</v>
      </c>
      <c r="I137" s="16">
        <v>1610990</v>
      </c>
      <c r="J137" s="16">
        <v>1354001</v>
      </c>
      <c r="K137" s="16">
        <v>256989</v>
      </c>
      <c r="L137" s="16">
        <v>3891572</v>
      </c>
      <c r="M137" s="16">
        <v>3071266</v>
      </c>
      <c r="N137" s="16">
        <v>820306</v>
      </c>
      <c r="O137" s="16">
        <v>677754</v>
      </c>
      <c r="P137" s="16">
        <v>142552</v>
      </c>
      <c r="Q137" s="16">
        <v>3777639</v>
      </c>
      <c r="R137" s="16">
        <v>2856576</v>
      </c>
      <c r="S137" s="16">
        <v>921063</v>
      </c>
      <c r="T137" s="16">
        <v>756197</v>
      </c>
      <c r="U137" s="16">
        <v>164866</v>
      </c>
      <c r="V137" s="16">
        <v>693638</v>
      </c>
      <c r="W137" s="16">
        <v>522625</v>
      </c>
      <c r="X137" s="16">
        <v>171013</v>
      </c>
      <c r="Y137" s="16">
        <v>135668</v>
      </c>
      <c r="Z137" s="16">
        <v>35345</v>
      </c>
      <c r="AA137" s="16">
        <v>4470131</v>
      </c>
      <c r="AB137" s="16">
        <v>3498075</v>
      </c>
      <c r="AC137" s="16">
        <v>972056</v>
      </c>
      <c r="AD137" s="16">
        <v>814368</v>
      </c>
      <c r="AE137" s="16">
        <v>157688</v>
      </c>
      <c r="AF137" s="16">
        <v>1497281</v>
      </c>
      <c r="AG137" s="16">
        <v>1186248</v>
      </c>
      <c r="AH137" s="16">
        <v>311033</v>
      </c>
      <c r="AI137" s="16">
        <v>259628</v>
      </c>
      <c r="AJ137" s="16">
        <v>51405</v>
      </c>
      <c r="AK137" s="16">
        <v>2612832</v>
      </c>
      <c r="AL137" s="16">
        <v>2105976</v>
      </c>
      <c r="AM137" s="16">
        <v>506856</v>
      </c>
      <c r="AN137" s="16">
        <v>426633</v>
      </c>
      <c r="AO137" s="16">
        <v>80223</v>
      </c>
    </row>
    <row r="138" spans="1:41" ht="13.5" customHeight="1" x14ac:dyDescent="0.2">
      <c r="A138" s="26">
        <v>44228</v>
      </c>
      <c r="B138" s="16">
        <v>24861824</v>
      </c>
      <c r="C138" s="16">
        <v>19531532</v>
      </c>
      <c r="D138" s="16">
        <v>5330292</v>
      </c>
      <c r="E138" s="16">
        <v>4446908</v>
      </c>
      <c r="F138" s="16">
        <v>883384</v>
      </c>
      <c r="G138" s="16">
        <v>8060034</v>
      </c>
      <c r="H138" s="16">
        <v>6453126</v>
      </c>
      <c r="I138" s="16">
        <v>1606908</v>
      </c>
      <c r="J138" s="16">
        <v>1350950</v>
      </c>
      <c r="K138" s="16">
        <v>255958</v>
      </c>
      <c r="L138" s="16">
        <v>3859455</v>
      </c>
      <c r="M138" s="16">
        <v>3034086</v>
      </c>
      <c r="N138" s="16">
        <v>825369</v>
      </c>
      <c r="O138" s="16">
        <v>683647</v>
      </c>
      <c r="P138" s="16">
        <v>141722</v>
      </c>
      <c r="Q138" s="16">
        <v>3698658</v>
      </c>
      <c r="R138" s="16">
        <v>2773993</v>
      </c>
      <c r="S138" s="16">
        <v>924665</v>
      </c>
      <c r="T138" s="16">
        <v>761527</v>
      </c>
      <c r="U138" s="16">
        <v>163138</v>
      </c>
      <c r="V138" s="16">
        <v>672274</v>
      </c>
      <c r="W138" s="16">
        <v>503320</v>
      </c>
      <c r="X138" s="16">
        <v>168954</v>
      </c>
      <c r="Y138" s="16">
        <v>134424</v>
      </c>
      <c r="Z138" s="16">
        <v>34530</v>
      </c>
      <c r="AA138" s="16">
        <v>4451440</v>
      </c>
      <c r="AB138" s="16">
        <v>3472589</v>
      </c>
      <c r="AC138" s="16">
        <v>978851</v>
      </c>
      <c r="AD138" s="16">
        <v>822273</v>
      </c>
      <c r="AE138" s="16">
        <v>156578</v>
      </c>
      <c r="AF138" s="16">
        <v>1527594</v>
      </c>
      <c r="AG138" s="16">
        <v>1208821</v>
      </c>
      <c r="AH138" s="16">
        <v>318773</v>
      </c>
      <c r="AI138" s="16">
        <v>267052</v>
      </c>
      <c r="AJ138" s="16">
        <v>51721</v>
      </c>
      <c r="AK138" s="16">
        <v>2592369</v>
      </c>
      <c r="AL138" s="16">
        <v>2085597</v>
      </c>
      <c r="AM138" s="16">
        <v>506772</v>
      </c>
      <c r="AN138" s="16">
        <v>427035</v>
      </c>
      <c r="AO138" s="16">
        <v>79737</v>
      </c>
    </row>
    <row r="139" spans="1:41" ht="13.5" customHeight="1" x14ac:dyDescent="0.2">
      <c r="A139" s="26">
        <v>44256</v>
      </c>
      <c r="B139" s="16">
        <v>26193499</v>
      </c>
      <c r="C139" s="16">
        <v>20498751</v>
      </c>
      <c r="D139" s="16">
        <v>5694748</v>
      </c>
      <c r="E139" s="16">
        <v>4716581</v>
      </c>
      <c r="F139" s="16">
        <v>978167</v>
      </c>
      <c r="G139" s="16">
        <v>8524418</v>
      </c>
      <c r="H139" s="16">
        <v>6780554</v>
      </c>
      <c r="I139" s="16">
        <v>1743864</v>
      </c>
      <c r="J139" s="16">
        <v>1460914</v>
      </c>
      <c r="K139" s="16">
        <v>282950</v>
      </c>
      <c r="L139" s="16">
        <v>4026656</v>
      </c>
      <c r="M139" s="16">
        <v>3155037</v>
      </c>
      <c r="N139" s="16">
        <v>871619</v>
      </c>
      <c r="O139" s="16">
        <v>715777</v>
      </c>
      <c r="P139" s="16">
        <v>155842</v>
      </c>
      <c r="Q139" s="16">
        <v>3993912</v>
      </c>
      <c r="R139" s="16">
        <v>2997739</v>
      </c>
      <c r="S139" s="16">
        <v>996173</v>
      </c>
      <c r="T139" s="16">
        <v>811754</v>
      </c>
      <c r="U139" s="16">
        <v>184419</v>
      </c>
      <c r="V139" s="16">
        <v>707007</v>
      </c>
      <c r="W139" s="16">
        <v>529088</v>
      </c>
      <c r="X139" s="16">
        <v>177919</v>
      </c>
      <c r="Y139" s="16">
        <v>139391</v>
      </c>
      <c r="Z139" s="16">
        <v>38528</v>
      </c>
      <c r="AA139" s="16">
        <v>4649342</v>
      </c>
      <c r="AB139" s="16">
        <v>3614947</v>
      </c>
      <c r="AC139" s="16">
        <v>1034395</v>
      </c>
      <c r="AD139" s="16">
        <v>861957</v>
      </c>
      <c r="AE139" s="16">
        <v>172438</v>
      </c>
      <c r="AF139" s="16">
        <v>1585364</v>
      </c>
      <c r="AG139" s="16">
        <v>1250913</v>
      </c>
      <c r="AH139" s="16">
        <v>334451</v>
      </c>
      <c r="AI139" s="16">
        <v>278226</v>
      </c>
      <c r="AJ139" s="16">
        <v>56225</v>
      </c>
      <c r="AK139" s="16">
        <v>2706800</v>
      </c>
      <c r="AL139" s="16">
        <v>2170473</v>
      </c>
      <c r="AM139" s="16">
        <v>536327</v>
      </c>
      <c r="AN139" s="16">
        <v>448562</v>
      </c>
      <c r="AO139" s="16">
        <v>87765</v>
      </c>
    </row>
    <row r="140" spans="1:41" ht="13.5" customHeight="1" x14ac:dyDescent="0.2">
      <c r="A140" s="26">
        <v>44287</v>
      </c>
      <c r="B140" s="16">
        <v>15347516</v>
      </c>
      <c r="C140" s="16">
        <v>12108514</v>
      </c>
      <c r="D140" s="16">
        <v>3239002</v>
      </c>
      <c r="E140" s="16">
        <v>2612061</v>
      </c>
      <c r="F140" s="16">
        <v>626941</v>
      </c>
      <c r="G140" s="16">
        <v>4628870</v>
      </c>
      <c r="H140" s="16">
        <v>3706750</v>
      </c>
      <c r="I140" s="16">
        <v>922120</v>
      </c>
      <c r="J140" s="16">
        <v>751781</v>
      </c>
      <c r="K140" s="16">
        <v>170339</v>
      </c>
      <c r="L140" s="16">
        <v>2539441</v>
      </c>
      <c r="M140" s="16">
        <v>2008583</v>
      </c>
      <c r="N140" s="16">
        <v>530858</v>
      </c>
      <c r="O140" s="16">
        <v>424811</v>
      </c>
      <c r="P140" s="16">
        <v>106047</v>
      </c>
      <c r="Q140" s="16">
        <v>2371430</v>
      </c>
      <c r="R140" s="16">
        <v>1783928</v>
      </c>
      <c r="S140" s="16">
        <v>587502</v>
      </c>
      <c r="T140" s="16">
        <v>467659</v>
      </c>
      <c r="U140" s="16">
        <v>119843</v>
      </c>
      <c r="V140" s="16">
        <v>454610</v>
      </c>
      <c r="W140" s="16">
        <v>340959</v>
      </c>
      <c r="X140" s="16">
        <v>113651</v>
      </c>
      <c r="Y140" s="16">
        <v>87148</v>
      </c>
      <c r="Z140" s="16">
        <v>26503</v>
      </c>
      <c r="AA140" s="16">
        <v>2785361</v>
      </c>
      <c r="AB140" s="16">
        <v>2196531</v>
      </c>
      <c r="AC140" s="16">
        <v>588830</v>
      </c>
      <c r="AD140" s="16">
        <v>477769</v>
      </c>
      <c r="AE140" s="16">
        <v>111061</v>
      </c>
      <c r="AF140" s="16">
        <v>929491</v>
      </c>
      <c r="AG140" s="16">
        <v>740663</v>
      </c>
      <c r="AH140" s="16">
        <v>188828</v>
      </c>
      <c r="AI140" s="16">
        <v>152720</v>
      </c>
      <c r="AJ140" s="16">
        <v>36108</v>
      </c>
      <c r="AK140" s="16">
        <v>1638313</v>
      </c>
      <c r="AL140" s="16">
        <v>1331100</v>
      </c>
      <c r="AM140" s="16">
        <v>307213</v>
      </c>
      <c r="AN140" s="16">
        <v>250173</v>
      </c>
      <c r="AO140" s="16">
        <v>57040</v>
      </c>
    </row>
    <row r="141" spans="1:41" ht="13.5" customHeight="1" x14ac:dyDescent="0.2">
      <c r="A141" s="26">
        <v>44317</v>
      </c>
      <c r="B141" s="16">
        <v>22246646</v>
      </c>
      <c r="C141" s="16">
        <v>17537186</v>
      </c>
      <c r="D141" s="16">
        <v>4709460</v>
      </c>
      <c r="E141" s="16">
        <v>3900891</v>
      </c>
      <c r="F141" s="16">
        <v>808569</v>
      </c>
      <c r="G141" s="16">
        <v>7251880</v>
      </c>
      <c r="H141" s="16">
        <v>5811855</v>
      </c>
      <c r="I141" s="16">
        <v>1440025</v>
      </c>
      <c r="J141" s="16">
        <v>1204058</v>
      </c>
      <c r="K141" s="16">
        <v>235967</v>
      </c>
      <c r="L141" s="16">
        <v>3459208</v>
      </c>
      <c r="M141" s="16">
        <v>2730554</v>
      </c>
      <c r="N141" s="16">
        <v>728654</v>
      </c>
      <c r="O141" s="16">
        <v>599317</v>
      </c>
      <c r="P141" s="16">
        <v>129337</v>
      </c>
      <c r="Q141" s="16">
        <v>3237870</v>
      </c>
      <c r="R141" s="16">
        <v>2432431</v>
      </c>
      <c r="S141" s="16">
        <v>805439</v>
      </c>
      <c r="T141" s="16">
        <v>659058</v>
      </c>
      <c r="U141" s="16">
        <v>146381</v>
      </c>
      <c r="V141" s="16">
        <v>580835</v>
      </c>
      <c r="W141" s="16">
        <v>437089</v>
      </c>
      <c r="X141" s="16">
        <v>143746</v>
      </c>
      <c r="Y141" s="16">
        <v>112705</v>
      </c>
      <c r="Z141" s="16">
        <v>31041</v>
      </c>
      <c r="AA141" s="16">
        <v>3953475</v>
      </c>
      <c r="AB141" s="16">
        <v>3107140</v>
      </c>
      <c r="AC141" s="16">
        <v>846335</v>
      </c>
      <c r="AD141" s="16">
        <v>704289</v>
      </c>
      <c r="AE141" s="16">
        <v>142046</v>
      </c>
      <c r="AF141" s="16">
        <v>1377468</v>
      </c>
      <c r="AG141" s="16">
        <v>1093013</v>
      </c>
      <c r="AH141" s="16">
        <v>284455</v>
      </c>
      <c r="AI141" s="16">
        <v>236434</v>
      </c>
      <c r="AJ141" s="16">
        <v>48021</v>
      </c>
      <c r="AK141" s="16">
        <v>2385910</v>
      </c>
      <c r="AL141" s="16">
        <v>1925104</v>
      </c>
      <c r="AM141" s="16">
        <v>460806</v>
      </c>
      <c r="AN141" s="16">
        <v>385030</v>
      </c>
      <c r="AO141" s="16">
        <v>75776</v>
      </c>
    </row>
    <row r="142" spans="1:41" ht="13.5" customHeight="1" x14ac:dyDescent="0.2">
      <c r="A142" s="26">
        <v>44348</v>
      </c>
      <c r="B142" s="16">
        <v>21641402</v>
      </c>
      <c r="C142" s="16">
        <v>17530977</v>
      </c>
      <c r="D142" s="16">
        <v>4110425</v>
      </c>
      <c r="E142" s="16">
        <v>3408662</v>
      </c>
      <c r="F142" s="16">
        <v>701763</v>
      </c>
      <c r="G142" s="16">
        <v>6936379</v>
      </c>
      <c r="H142" s="16">
        <v>5705530</v>
      </c>
      <c r="I142" s="16">
        <v>1230849</v>
      </c>
      <c r="J142" s="16">
        <v>1031059</v>
      </c>
      <c r="K142" s="16">
        <v>199790</v>
      </c>
      <c r="L142" s="16">
        <v>3408692</v>
      </c>
      <c r="M142" s="16">
        <v>2766593</v>
      </c>
      <c r="N142" s="16">
        <v>642099</v>
      </c>
      <c r="O142" s="16">
        <v>529969</v>
      </c>
      <c r="P142" s="16">
        <v>112130</v>
      </c>
      <c r="Q142" s="16">
        <v>3250511</v>
      </c>
      <c r="R142" s="16">
        <v>2530670</v>
      </c>
      <c r="S142" s="16">
        <v>719841</v>
      </c>
      <c r="T142" s="16">
        <v>589366</v>
      </c>
      <c r="U142" s="16">
        <v>130475</v>
      </c>
      <c r="V142" s="16">
        <v>589287</v>
      </c>
      <c r="W142" s="16">
        <v>458478</v>
      </c>
      <c r="X142" s="16">
        <v>130809</v>
      </c>
      <c r="Y142" s="16">
        <v>102803</v>
      </c>
      <c r="Z142" s="16">
        <v>28006</v>
      </c>
      <c r="AA142" s="16">
        <v>3862980</v>
      </c>
      <c r="AB142" s="16">
        <v>3128652</v>
      </c>
      <c r="AC142" s="16">
        <v>734328</v>
      </c>
      <c r="AD142" s="16">
        <v>612810</v>
      </c>
      <c r="AE142" s="16">
        <v>121518</v>
      </c>
      <c r="AF142" s="16">
        <v>1315453</v>
      </c>
      <c r="AG142" s="16">
        <v>1067362</v>
      </c>
      <c r="AH142" s="16">
        <v>248091</v>
      </c>
      <c r="AI142" s="16">
        <v>205713</v>
      </c>
      <c r="AJ142" s="16">
        <v>42378</v>
      </c>
      <c r="AK142" s="16">
        <v>2278100</v>
      </c>
      <c r="AL142" s="16">
        <v>1873692</v>
      </c>
      <c r="AM142" s="16">
        <v>404408</v>
      </c>
      <c r="AN142" s="16">
        <v>336942</v>
      </c>
      <c r="AO142" s="16">
        <v>67466</v>
      </c>
    </row>
    <row r="143" spans="1:41" ht="13.5" customHeight="1" x14ac:dyDescent="0.2">
      <c r="A143" s="26">
        <v>44378</v>
      </c>
      <c r="B143" s="16">
        <v>30449863</v>
      </c>
      <c r="C143" s="16">
        <v>23758918</v>
      </c>
      <c r="D143" s="16">
        <v>6690945</v>
      </c>
      <c r="E143" s="16">
        <v>5679893</v>
      </c>
      <c r="F143" s="16">
        <v>1011052</v>
      </c>
      <c r="G143" s="16">
        <v>10016039</v>
      </c>
      <c r="H143" s="16">
        <v>7981856</v>
      </c>
      <c r="I143" s="16">
        <v>2034183</v>
      </c>
      <c r="J143" s="16">
        <v>1742412</v>
      </c>
      <c r="K143" s="16">
        <v>291771</v>
      </c>
      <c r="L143" s="16">
        <v>4632601</v>
      </c>
      <c r="M143" s="16">
        <v>3616369</v>
      </c>
      <c r="N143" s="16">
        <v>1016232</v>
      </c>
      <c r="O143" s="16">
        <v>856590</v>
      </c>
      <c r="P143" s="16">
        <v>159642</v>
      </c>
      <c r="Q143" s="16">
        <v>4528323</v>
      </c>
      <c r="R143" s="16">
        <v>3371524</v>
      </c>
      <c r="S143" s="16">
        <v>1156799</v>
      </c>
      <c r="T143" s="16">
        <v>970835</v>
      </c>
      <c r="U143" s="16">
        <v>185964</v>
      </c>
      <c r="V143" s="16">
        <v>812303</v>
      </c>
      <c r="W143" s="16">
        <v>604783</v>
      </c>
      <c r="X143" s="16">
        <v>207520</v>
      </c>
      <c r="Y143" s="16">
        <v>168092</v>
      </c>
      <c r="Z143" s="16">
        <v>39428</v>
      </c>
      <c r="AA143" s="16">
        <v>5522673</v>
      </c>
      <c r="AB143" s="16">
        <v>4261555</v>
      </c>
      <c r="AC143" s="16">
        <v>1261118</v>
      </c>
      <c r="AD143" s="16">
        <v>1080437</v>
      </c>
      <c r="AE143" s="16">
        <v>180681</v>
      </c>
      <c r="AF143" s="16">
        <v>1833870</v>
      </c>
      <c r="AG143" s="16">
        <v>1443505</v>
      </c>
      <c r="AH143" s="16">
        <v>390365</v>
      </c>
      <c r="AI143" s="16">
        <v>330680</v>
      </c>
      <c r="AJ143" s="16">
        <v>59685</v>
      </c>
      <c r="AK143" s="16">
        <v>3104054</v>
      </c>
      <c r="AL143" s="16">
        <v>2479326</v>
      </c>
      <c r="AM143" s="16">
        <v>624728</v>
      </c>
      <c r="AN143" s="16">
        <v>530847</v>
      </c>
      <c r="AO143" s="16">
        <v>93881</v>
      </c>
    </row>
    <row r="144" spans="1:41" ht="13.5" customHeight="1" x14ac:dyDescent="0.2">
      <c r="A144" s="26">
        <v>44409</v>
      </c>
      <c r="B144" s="16">
        <v>35026241</v>
      </c>
      <c r="C144" s="16">
        <v>28241981</v>
      </c>
      <c r="D144" s="16">
        <v>6784260</v>
      </c>
      <c r="E144" s="16">
        <v>5824835</v>
      </c>
      <c r="F144" s="16">
        <v>959425</v>
      </c>
      <c r="G144" s="16">
        <v>11653965</v>
      </c>
      <c r="H144" s="16">
        <v>9555999</v>
      </c>
      <c r="I144" s="16">
        <v>2097966</v>
      </c>
      <c r="J144" s="16">
        <v>1820962</v>
      </c>
      <c r="K144" s="16">
        <v>277004</v>
      </c>
      <c r="L144" s="16">
        <v>5193497</v>
      </c>
      <c r="M144" s="16">
        <v>4181573</v>
      </c>
      <c r="N144" s="16">
        <v>1011924</v>
      </c>
      <c r="O144" s="16">
        <v>863126</v>
      </c>
      <c r="P144" s="16">
        <v>148798</v>
      </c>
      <c r="Q144" s="16">
        <v>5228529</v>
      </c>
      <c r="R144" s="16">
        <v>4059361</v>
      </c>
      <c r="S144" s="16">
        <v>1169168</v>
      </c>
      <c r="T144" s="16">
        <v>990472</v>
      </c>
      <c r="U144" s="16">
        <v>178696</v>
      </c>
      <c r="V144" s="16">
        <v>919912</v>
      </c>
      <c r="W144" s="16">
        <v>715017</v>
      </c>
      <c r="X144" s="16">
        <v>204895</v>
      </c>
      <c r="Y144" s="16">
        <v>166684</v>
      </c>
      <c r="Z144" s="16">
        <v>38211</v>
      </c>
      <c r="AA144" s="16">
        <v>6359321</v>
      </c>
      <c r="AB144" s="16">
        <v>5075444</v>
      </c>
      <c r="AC144" s="16">
        <v>1283877</v>
      </c>
      <c r="AD144" s="16">
        <v>1108041</v>
      </c>
      <c r="AE144" s="16">
        <v>175836</v>
      </c>
      <c r="AF144" s="16">
        <v>2131420</v>
      </c>
      <c r="AG144" s="16">
        <v>1735651</v>
      </c>
      <c r="AH144" s="16">
        <v>395769</v>
      </c>
      <c r="AI144" s="16">
        <v>340569</v>
      </c>
      <c r="AJ144" s="16">
        <v>55200</v>
      </c>
      <c r="AK144" s="16">
        <v>3539597</v>
      </c>
      <c r="AL144" s="16">
        <v>2918936</v>
      </c>
      <c r="AM144" s="16">
        <v>620661</v>
      </c>
      <c r="AN144" s="16">
        <v>534981</v>
      </c>
      <c r="AO144" s="16">
        <v>85680</v>
      </c>
    </row>
    <row r="145" spans="1:41" ht="13.5" customHeight="1" x14ac:dyDescent="0.2">
      <c r="A145" s="26">
        <v>44440</v>
      </c>
      <c r="B145" s="16">
        <v>36111667</v>
      </c>
      <c r="C145" s="16">
        <v>28255553</v>
      </c>
      <c r="D145" s="16">
        <v>7856114</v>
      </c>
      <c r="E145" s="16">
        <v>6785075</v>
      </c>
      <c r="F145" s="16">
        <v>1071039</v>
      </c>
      <c r="G145" s="16">
        <v>12052230</v>
      </c>
      <c r="H145" s="16">
        <v>9610451</v>
      </c>
      <c r="I145" s="16">
        <v>2441779</v>
      </c>
      <c r="J145" s="16">
        <v>2134937</v>
      </c>
      <c r="K145" s="16">
        <v>306842</v>
      </c>
      <c r="L145" s="16">
        <v>5358725</v>
      </c>
      <c r="M145" s="16">
        <v>4195344</v>
      </c>
      <c r="N145" s="16">
        <v>1163381</v>
      </c>
      <c r="O145" s="16">
        <v>995330</v>
      </c>
      <c r="P145" s="16">
        <v>168051</v>
      </c>
      <c r="Q145" s="16">
        <v>5369945</v>
      </c>
      <c r="R145" s="16">
        <v>4028465</v>
      </c>
      <c r="S145" s="16">
        <v>1341480</v>
      </c>
      <c r="T145" s="16">
        <v>1142643</v>
      </c>
      <c r="U145" s="16">
        <v>198837</v>
      </c>
      <c r="V145" s="16">
        <v>940412</v>
      </c>
      <c r="W145" s="16">
        <v>704122</v>
      </c>
      <c r="X145" s="16">
        <v>236290</v>
      </c>
      <c r="Y145" s="16">
        <v>193351</v>
      </c>
      <c r="Z145" s="16">
        <v>42939</v>
      </c>
      <c r="AA145" s="16">
        <v>6590227</v>
      </c>
      <c r="AB145" s="16">
        <v>5087078</v>
      </c>
      <c r="AC145" s="16">
        <v>1503149</v>
      </c>
      <c r="AD145" s="16">
        <v>1306493</v>
      </c>
      <c r="AE145" s="16">
        <v>196656</v>
      </c>
      <c r="AF145" s="16">
        <v>2173286</v>
      </c>
      <c r="AG145" s="16">
        <v>1716719</v>
      </c>
      <c r="AH145" s="16">
        <v>456567</v>
      </c>
      <c r="AI145" s="16">
        <v>395396</v>
      </c>
      <c r="AJ145" s="16">
        <v>61171</v>
      </c>
      <c r="AK145" s="16">
        <v>3626842</v>
      </c>
      <c r="AL145" s="16">
        <v>2913374</v>
      </c>
      <c r="AM145" s="16">
        <v>713468</v>
      </c>
      <c r="AN145" s="16">
        <v>616925</v>
      </c>
      <c r="AO145" s="16">
        <v>96543</v>
      </c>
    </row>
    <row r="146" spans="1:41" ht="13.5" customHeight="1" x14ac:dyDescent="0.2">
      <c r="A146" s="26">
        <v>44470</v>
      </c>
      <c r="B146" s="16">
        <v>38988014</v>
      </c>
      <c r="C146" s="16">
        <v>30078246</v>
      </c>
      <c r="D146" s="16">
        <v>8909768</v>
      </c>
      <c r="E146" s="16">
        <v>7705618</v>
      </c>
      <c r="F146" s="16">
        <v>1204150</v>
      </c>
      <c r="G146" s="16">
        <v>13055422</v>
      </c>
      <c r="H146" s="16">
        <v>10298561</v>
      </c>
      <c r="I146" s="16">
        <v>2756861</v>
      </c>
      <c r="J146" s="16">
        <v>2413999</v>
      </c>
      <c r="K146" s="16">
        <v>342862</v>
      </c>
      <c r="L146" s="16">
        <v>5776953</v>
      </c>
      <c r="M146" s="16">
        <v>4440864</v>
      </c>
      <c r="N146" s="16">
        <v>1336089</v>
      </c>
      <c r="O146" s="16">
        <v>1144033</v>
      </c>
      <c r="P146" s="16">
        <v>192056</v>
      </c>
      <c r="Q146" s="16">
        <v>5751152</v>
      </c>
      <c r="R146" s="16">
        <v>4241772</v>
      </c>
      <c r="S146" s="16">
        <v>1509380</v>
      </c>
      <c r="T146" s="16">
        <v>1289292</v>
      </c>
      <c r="U146" s="16">
        <v>220088</v>
      </c>
      <c r="V146" s="16">
        <v>1000672</v>
      </c>
      <c r="W146" s="16">
        <v>735245</v>
      </c>
      <c r="X146" s="16">
        <v>265427</v>
      </c>
      <c r="Y146" s="16">
        <v>217708</v>
      </c>
      <c r="Z146" s="16">
        <v>47719</v>
      </c>
      <c r="AA146" s="16">
        <v>7110119</v>
      </c>
      <c r="AB146" s="16">
        <v>5409349</v>
      </c>
      <c r="AC146" s="16">
        <v>1700770</v>
      </c>
      <c r="AD146" s="16">
        <v>1477126</v>
      </c>
      <c r="AE146" s="16">
        <v>223644</v>
      </c>
      <c r="AF146" s="16">
        <v>2347865</v>
      </c>
      <c r="AG146" s="16">
        <v>1825884</v>
      </c>
      <c r="AH146" s="16">
        <v>521981</v>
      </c>
      <c r="AI146" s="16">
        <v>454248</v>
      </c>
      <c r="AJ146" s="16">
        <v>67733</v>
      </c>
      <c r="AK146" s="16">
        <v>3945831</v>
      </c>
      <c r="AL146" s="16">
        <v>3126571</v>
      </c>
      <c r="AM146" s="16">
        <v>819260</v>
      </c>
      <c r="AN146" s="16">
        <v>709212</v>
      </c>
      <c r="AO146" s="16">
        <v>110048</v>
      </c>
    </row>
    <row r="147" spans="1:41" ht="13.5" customHeight="1" x14ac:dyDescent="0.2">
      <c r="A147" s="26">
        <v>44501</v>
      </c>
      <c r="B147" s="16">
        <v>40447842</v>
      </c>
      <c r="C147" s="16">
        <v>30837632</v>
      </c>
      <c r="D147" s="16">
        <v>9610210</v>
      </c>
      <c r="E147" s="16">
        <v>8313443</v>
      </c>
      <c r="F147" s="16">
        <v>1296767</v>
      </c>
      <c r="G147" s="16">
        <v>13685449</v>
      </c>
      <c r="H147" s="16">
        <v>10670404</v>
      </c>
      <c r="I147" s="16">
        <v>3015045</v>
      </c>
      <c r="J147" s="16">
        <v>2644555</v>
      </c>
      <c r="K147" s="16">
        <v>370490</v>
      </c>
      <c r="L147" s="16">
        <v>5928672</v>
      </c>
      <c r="M147" s="16">
        <v>4505775</v>
      </c>
      <c r="N147" s="16">
        <v>1422897</v>
      </c>
      <c r="O147" s="16">
        <v>1216773</v>
      </c>
      <c r="P147" s="16">
        <v>206124</v>
      </c>
      <c r="Q147" s="16">
        <v>5986399</v>
      </c>
      <c r="R147" s="16">
        <v>4364684</v>
      </c>
      <c r="S147" s="16">
        <v>1621715</v>
      </c>
      <c r="T147" s="16">
        <v>1384302</v>
      </c>
      <c r="U147" s="16">
        <v>237413</v>
      </c>
      <c r="V147" s="16">
        <v>1036228</v>
      </c>
      <c r="W147" s="16">
        <v>751282</v>
      </c>
      <c r="X147" s="16">
        <v>284946</v>
      </c>
      <c r="Y147" s="16">
        <v>233368</v>
      </c>
      <c r="Z147" s="16">
        <v>51578</v>
      </c>
      <c r="AA147" s="16">
        <v>7317915</v>
      </c>
      <c r="AB147" s="16">
        <v>5488423</v>
      </c>
      <c r="AC147" s="16">
        <v>1829492</v>
      </c>
      <c r="AD147" s="16">
        <v>1590300</v>
      </c>
      <c r="AE147" s="16">
        <v>239192</v>
      </c>
      <c r="AF147" s="16">
        <v>2419820</v>
      </c>
      <c r="AG147" s="16">
        <v>1860839</v>
      </c>
      <c r="AH147" s="16">
        <v>558981</v>
      </c>
      <c r="AI147" s="16">
        <v>485381</v>
      </c>
      <c r="AJ147" s="16">
        <v>73600</v>
      </c>
      <c r="AK147" s="16">
        <v>4073359</v>
      </c>
      <c r="AL147" s="16">
        <v>3196225</v>
      </c>
      <c r="AM147" s="16">
        <v>877134</v>
      </c>
      <c r="AN147" s="16">
        <v>758764</v>
      </c>
      <c r="AO147" s="16">
        <v>118370</v>
      </c>
    </row>
    <row r="148" spans="1:41" ht="13.5" customHeight="1" x14ac:dyDescent="0.2">
      <c r="A148" s="26">
        <v>44531</v>
      </c>
      <c r="B148" s="16">
        <v>43082224</v>
      </c>
      <c r="C148" s="16">
        <v>32993346</v>
      </c>
      <c r="D148" s="16">
        <v>10088878</v>
      </c>
      <c r="E148" s="16">
        <v>8669600</v>
      </c>
      <c r="F148" s="16">
        <v>1419278</v>
      </c>
      <c r="G148" s="16">
        <v>14527401</v>
      </c>
      <c r="H148" s="16">
        <v>11398732</v>
      </c>
      <c r="I148" s="16">
        <v>3128669</v>
      </c>
      <c r="J148" s="16">
        <v>2718955</v>
      </c>
      <c r="K148" s="16">
        <v>409714</v>
      </c>
      <c r="L148" s="16">
        <v>6258723</v>
      </c>
      <c r="M148" s="16">
        <v>4784706</v>
      </c>
      <c r="N148" s="16">
        <v>1474017</v>
      </c>
      <c r="O148" s="16">
        <v>1253491</v>
      </c>
      <c r="P148" s="16">
        <v>220526</v>
      </c>
      <c r="Q148" s="16">
        <v>6379392</v>
      </c>
      <c r="R148" s="16">
        <v>4644964</v>
      </c>
      <c r="S148" s="16">
        <v>1734428</v>
      </c>
      <c r="T148" s="16">
        <v>1472924</v>
      </c>
      <c r="U148" s="16">
        <v>261504</v>
      </c>
      <c r="V148" s="16">
        <v>1107749</v>
      </c>
      <c r="W148" s="16">
        <v>806346</v>
      </c>
      <c r="X148" s="16">
        <v>301403</v>
      </c>
      <c r="Y148" s="16">
        <v>245097</v>
      </c>
      <c r="Z148" s="16">
        <v>56306</v>
      </c>
      <c r="AA148" s="16">
        <v>7818503</v>
      </c>
      <c r="AB148" s="16">
        <v>5899631</v>
      </c>
      <c r="AC148" s="16">
        <v>1918872</v>
      </c>
      <c r="AD148" s="16">
        <v>1655436</v>
      </c>
      <c r="AE148" s="16">
        <v>263436</v>
      </c>
      <c r="AF148" s="16">
        <v>2580825</v>
      </c>
      <c r="AG148" s="16">
        <v>1997040</v>
      </c>
      <c r="AH148" s="16">
        <v>583785</v>
      </c>
      <c r="AI148" s="16">
        <v>504403</v>
      </c>
      <c r="AJ148" s="16">
        <v>79382</v>
      </c>
      <c r="AK148" s="16">
        <v>4409631</v>
      </c>
      <c r="AL148" s="16">
        <v>3461927</v>
      </c>
      <c r="AM148" s="16">
        <v>947704</v>
      </c>
      <c r="AN148" s="16">
        <v>819294</v>
      </c>
      <c r="AO148" s="16">
        <v>128410</v>
      </c>
    </row>
    <row r="149" spans="1:41" ht="13.5" customHeight="1" x14ac:dyDescent="0.2">
      <c r="A149" s="26">
        <v>44562</v>
      </c>
      <c r="B149" s="16">
        <v>35522608</v>
      </c>
      <c r="C149" s="16">
        <v>27217439</v>
      </c>
      <c r="D149" s="16">
        <v>8305169</v>
      </c>
      <c r="E149" s="16">
        <v>7110679</v>
      </c>
      <c r="F149" s="16">
        <v>1194490</v>
      </c>
      <c r="G149" s="16">
        <v>12092426</v>
      </c>
      <c r="H149" s="16">
        <v>9492977</v>
      </c>
      <c r="I149" s="16">
        <v>2599449</v>
      </c>
      <c r="J149" s="16">
        <v>2251956</v>
      </c>
      <c r="K149" s="16">
        <v>347493</v>
      </c>
      <c r="L149" s="16">
        <v>5136610</v>
      </c>
      <c r="M149" s="16">
        <v>3932169</v>
      </c>
      <c r="N149" s="16">
        <v>1204441</v>
      </c>
      <c r="O149" s="16">
        <v>1020448</v>
      </c>
      <c r="P149" s="16">
        <v>183993</v>
      </c>
      <c r="Q149" s="16">
        <v>5251776</v>
      </c>
      <c r="R149" s="16">
        <v>3800590</v>
      </c>
      <c r="S149" s="16">
        <v>1451186</v>
      </c>
      <c r="T149" s="16">
        <v>1226311</v>
      </c>
      <c r="U149" s="16">
        <v>224875</v>
      </c>
      <c r="V149" s="16">
        <v>913043</v>
      </c>
      <c r="W149" s="16">
        <v>660607</v>
      </c>
      <c r="X149" s="16">
        <v>252436</v>
      </c>
      <c r="Y149" s="16">
        <v>204202</v>
      </c>
      <c r="Z149" s="16">
        <v>48234</v>
      </c>
      <c r="AA149" s="16">
        <v>6349806</v>
      </c>
      <c r="AB149" s="16">
        <v>4807882</v>
      </c>
      <c r="AC149" s="16">
        <v>1541924</v>
      </c>
      <c r="AD149" s="16">
        <v>1325796</v>
      </c>
      <c r="AE149" s="16">
        <v>216128</v>
      </c>
      <c r="AF149" s="16">
        <v>2140894</v>
      </c>
      <c r="AG149" s="16">
        <v>1660697</v>
      </c>
      <c r="AH149" s="16">
        <v>480197</v>
      </c>
      <c r="AI149" s="16">
        <v>412803</v>
      </c>
      <c r="AJ149" s="16">
        <v>67394</v>
      </c>
      <c r="AK149" s="16">
        <v>3638053</v>
      </c>
      <c r="AL149" s="16">
        <v>2862517</v>
      </c>
      <c r="AM149" s="16">
        <v>775536</v>
      </c>
      <c r="AN149" s="16">
        <v>669163</v>
      </c>
      <c r="AO149" s="16">
        <v>106373</v>
      </c>
    </row>
    <row r="150" spans="1:41" ht="13.5" customHeight="1" x14ac:dyDescent="0.2">
      <c r="A150" s="26">
        <v>44593</v>
      </c>
      <c r="B150" s="16">
        <v>29812934</v>
      </c>
      <c r="C150" s="16">
        <v>23093259</v>
      </c>
      <c r="D150" s="16">
        <v>6719675</v>
      </c>
      <c r="E150" s="16">
        <v>5686909</v>
      </c>
      <c r="F150" s="16">
        <v>1032766</v>
      </c>
      <c r="G150" s="16">
        <v>10090301</v>
      </c>
      <c r="H150" s="16">
        <v>8020491</v>
      </c>
      <c r="I150" s="16">
        <v>2069810</v>
      </c>
      <c r="J150" s="16">
        <v>1771464</v>
      </c>
      <c r="K150" s="16">
        <v>298346</v>
      </c>
      <c r="L150" s="16">
        <v>4399838</v>
      </c>
      <c r="M150" s="16">
        <v>3403880</v>
      </c>
      <c r="N150" s="16">
        <v>995958</v>
      </c>
      <c r="O150" s="16">
        <v>834097</v>
      </c>
      <c r="P150" s="16">
        <v>161861</v>
      </c>
      <c r="Q150" s="16">
        <v>4311229</v>
      </c>
      <c r="R150" s="16">
        <v>3134045</v>
      </c>
      <c r="S150" s="16">
        <v>1177184</v>
      </c>
      <c r="T150" s="16">
        <v>985446</v>
      </c>
      <c r="U150" s="16">
        <v>191738</v>
      </c>
      <c r="V150" s="16">
        <v>777489</v>
      </c>
      <c r="W150" s="16">
        <v>566919</v>
      </c>
      <c r="X150" s="16">
        <v>210570</v>
      </c>
      <c r="Y150" s="16">
        <v>168303</v>
      </c>
      <c r="Z150" s="16">
        <v>42267</v>
      </c>
      <c r="AA150" s="16">
        <v>5346040</v>
      </c>
      <c r="AB150" s="16">
        <v>4094862</v>
      </c>
      <c r="AC150" s="16">
        <v>1251178</v>
      </c>
      <c r="AD150" s="16">
        <v>1064510</v>
      </c>
      <c r="AE150" s="16">
        <v>186668</v>
      </c>
      <c r="AF150" s="16">
        <v>1813665</v>
      </c>
      <c r="AG150" s="16">
        <v>1423210</v>
      </c>
      <c r="AH150" s="16">
        <v>390455</v>
      </c>
      <c r="AI150" s="16">
        <v>332308</v>
      </c>
      <c r="AJ150" s="16">
        <v>58147</v>
      </c>
      <c r="AK150" s="16">
        <v>3074372</v>
      </c>
      <c r="AL150" s="16">
        <v>2449852</v>
      </c>
      <c r="AM150" s="16">
        <v>624520</v>
      </c>
      <c r="AN150" s="16">
        <v>530781</v>
      </c>
      <c r="AO150" s="16">
        <v>93739</v>
      </c>
    </row>
    <row r="151" spans="1:41" ht="13.5" customHeight="1" x14ac:dyDescent="0.2">
      <c r="A151" s="26">
        <v>44621</v>
      </c>
      <c r="B151" s="16">
        <v>48544079</v>
      </c>
      <c r="C151" s="16">
        <v>34779731</v>
      </c>
      <c r="D151" s="16">
        <v>13764348</v>
      </c>
      <c r="E151" s="16">
        <v>12005835</v>
      </c>
      <c r="F151" s="16">
        <v>1758513</v>
      </c>
      <c r="G151" s="16">
        <v>16705637</v>
      </c>
      <c r="H151" s="16">
        <v>12161493</v>
      </c>
      <c r="I151" s="16">
        <v>4544144</v>
      </c>
      <c r="J151" s="16">
        <v>4042536</v>
      </c>
      <c r="K151" s="16">
        <v>501608</v>
      </c>
      <c r="L151" s="16">
        <v>6922335</v>
      </c>
      <c r="M151" s="16">
        <v>4974332</v>
      </c>
      <c r="N151" s="16">
        <v>1948003</v>
      </c>
      <c r="O151" s="16">
        <v>1662037</v>
      </c>
      <c r="P151" s="16">
        <v>285966</v>
      </c>
      <c r="Q151" s="16">
        <v>6949514</v>
      </c>
      <c r="R151" s="16">
        <v>4796496</v>
      </c>
      <c r="S151" s="16">
        <v>2153018</v>
      </c>
      <c r="T151" s="16">
        <v>1849056</v>
      </c>
      <c r="U151" s="16">
        <v>303962</v>
      </c>
      <c r="V151" s="16">
        <v>1193903</v>
      </c>
      <c r="W151" s="16">
        <v>819574</v>
      </c>
      <c r="X151" s="16">
        <v>374329</v>
      </c>
      <c r="Y151" s="16">
        <v>308733</v>
      </c>
      <c r="Z151" s="16">
        <v>65596</v>
      </c>
      <c r="AA151" s="16">
        <v>8854906</v>
      </c>
      <c r="AB151" s="16">
        <v>6190889</v>
      </c>
      <c r="AC151" s="16">
        <v>2664017</v>
      </c>
      <c r="AD151" s="16">
        <v>2331513</v>
      </c>
      <c r="AE151" s="16">
        <v>332504</v>
      </c>
      <c r="AF151" s="16">
        <v>3030816</v>
      </c>
      <c r="AG151" s="16">
        <v>2202429</v>
      </c>
      <c r="AH151" s="16">
        <v>828387</v>
      </c>
      <c r="AI151" s="16">
        <v>727696</v>
      </c>
      <c r="AJ151" s="16">
        <v>100691</v>
      </c>
      <c r="AK151" s="16">
        <v>4886968</v>
      </c>
      <c r="AL151" s="16">
        <v>3634518</v>
      </c>
      <c r="AM151" s="16">
        <v>1252450</v>
      </c>
      <c r="AN151" s="16">
        <v>1084264</v>
      </c>
      <c r="AO151" s="16">
        <v>168186</v>
      </c>
    </row>
    <row r="152" spans="1:41" ht="13.5" customHeight="1" x14ac:dyDescent="0.2">
      <c r="A152" s="26">
        <v>44652</v>
      </c>
      <c r="B152" s="16">
        <v>48103466</v>
      </c>
      <c r="C152" s="16">
        <v>33515684</v>
      </c>
      <c r="D152" s="16">
        <v>14587782</v>
      </c>
      <c r="E152" s="16">
        <v>12804003</v>
      </c>
      <c r="F152" s="16">
        <v>1783779</v>
      </c>
      <c r="G152" s="16">
        <v>16638619</v>
      </c>
      <c r="H152" s="16">
        <v>11773210</v>
      </c>
      <c r="I152" s="16">
        <v>4865409</v>
      </c>
      <c r="J152" s="16">
        <v>4353505</v>
      </c>
      <c r="K152" s="16">
        <v>511904</v>
      </c>
      <c r="L152" s="16">
        <v>6851808</v>
      </c>
      <c r="M152" s="16">
        <v>4766475</v>
      </c>
      <c r="N152" s="16">
        <v>2085333</v>
      </c>
      <c r="O152" s="16">
        <v>1796520</v>
      </c>
      <c r="P152" s="16">
        <v>288813</v>
      </c>
      <c r="Q152" s="16">
        <v>6857460</v>
      </c>
      <c r="R152" s="16">
        <v>4619977</v>
      </c>
      <c r="S152" s="16">
        <v>2237483</v>
      </c>
      <c r="T152" s="16">
        <v>1931600</v>
      </c>
      <c r="U152" s="16">
        <v>305883</v>
      </c>
      <c r="V152" s="16">
        <v>1182965</v>
      </c>
      <c r="W152" s="16">
        <v>785553</v>
      </c>
      <c r="X152" s="16">
        <v>397412</v>
      </c>
      <c r="Y152" s="16">
        <v>329740</v>
      </c>
      <c r="Z152" s="16">
        <v>67672</v>
      </c>
      <c r="AA152" s="16">
        <v>8691186</v>
      </c>
      <c r="AB152" s="16">
        <v>5938946</v>
      </c>
      <c r="AC152" s="16">
        <v>2752240</v>
      </c>
      <c r="AD152" s="16">
        <v>2415136</v>
      </c>
      <c r="AE152" s="16">
        <v>337104</v>
      </c>
      <c r="AF152" s="16">
        <v>2971422</v>
      </c>
      <c r="AG152" s="16">
        <v>2083708</v>
      </c>
      <c r="AH152" s="16">
        <v>887714</v>
      </c>
      <c r="AI152" s="16">
        <v>786534</v>
      </c>
      <c r="AJ152" s="16">
        <v>101180</v>
      </c>
      <c r="AK152" s="16">
        <v>4910006</v>
      </c>
      <c r="AL152" s="16">
        <v>3547815</v>
      </c>
      <c r="AM152" s="16">
        <v>1362191</v>
      </c>
      <c r="AN152" s="16">
        <v>1190968</v>
      </c>
      <c r="AO152" s="16">
        <v>171223</v>
      </c>
    </row>
    <row r="153" spans="1:41" ht="13.5" customHeight="1" x14ac:dyDescent="0.2">
      <c r="A153" s="26">
        <v>44682</v>
      </c>
      <c r="B153" s="16">
        <v>50480452</v>
      </c>
      <c r="C153" s="16">
        <v>35065231</v>
      </c>
      <c r="D153" s="16">
        <v>15415221</v>
      </c>
      <c r="E153" s="16">
        <v>13523551</v>
      </c>
      <c r="F153" s="16">
        <v>1891670</v>
      </c>
      <c r="G153" s="16">
        <v>17306132</v>
      </c>
      <c r="H153" s="16">
        <v>12218434</v>
      </c>
      <c r="I153" s="16">
        <v>5087698</v>
      </c>
      <c r="J153" s="16">
        <v>4553836</v>
      </c>
      <c r="K153" s="16">
        <v>533862</v>
      </c>
      <c r="L153" s="16">
        <v>7166029</v>
      </c>
      <c r="M153" s="16">
        <v>4990937</v>
      </c>
      <c r="N153" s="16">
        <v>2175092</v>
      </c>
      <c r="O153" s="16">
        <v>1870565</v>
      </c>
      <c r="P153" s="16">
        <v>304527</v>
      </c>
      <c r="Q153" s="16">
        <v>7285246</v>
      </c>
      <c r="R153" s="16">
        <v>4874277</v>
      </c>
      <c r="S153" s="16">
        <v>2410969</v>
      </c>
      <c r="T153" s="16">
        <v>2079555</v>
      </c>
      <c r="U153" s="16">
        <v>331414</v>
      </c>
      <c r="V153" s="16">
        <v>1249635</v>
      </c>
      <c r="W153" s="16">
        <v>824150</v>
      </c>
      <c r="X153" s="16">
        <v>425485</v>
      </c>
      <c r="Y153" s="16">
        <v>352048</v>
      </c>
      <c r="Z153" s="16">
        <v>73437</v>
      </c>
      <c r="AA153" s="16">
        <v>9243438</v>
      </c>
      <c r="AB153" s="16">
        <v>6256911</v>
      </c>
      <c r="AC153" s="16">
        <v>2986527</v>
      </c>
      <c r="AD153" s="16">
        <v>2622690</v>
      </c>
      <c r="AE153" s="16">
        <v>363837</v>
      </c>
      <c r="AF153" s="16">
        <v>3112821</v>
      </c>
      <c r="AG153" s="16">
        <v>2182934</v>
      </c>
      <c r="AH153" s="16">
        <v>929887</v>
      </c>
      <c r="AI153" s="16">
        <v>820709</v>
      </c>
      <c r="AJ153" s="16">
        <v>109178</v>
      </c>
      <c r="AK153" s="16">
        <v>5117151</v>
      </c>
      <c r="AL153" s="16">
        <v>3717588</v>
      </c>
      <c r="AM153" s="16">
        <v>1399563</v>
      </c>
      <c r="AN153" s="16">
        <v>1224148</v>
      </c>
      <c r="AO153" s="16">
        <v>175415</v>
      </c>
    </row>
    <row r="154" spans="1:41" ht="13.5" customHeight="1" x14ac:dyDescent="0.2">
      <c r="A154" s="26">
        <v>44713</v>
      </c>
      <c r="B154" s="16">
        <v>45516407</v>
      </c>
      <c r="C154" s="16">
        <v>31028558</v>
      </c>
      <c r="D154" s="16">
        <v>14487849</v>
      </c>
      <c r="E154" s="16">
        <v>12766600</v>
      </c>
      <c r="F154" s="16">
        <v>1721249</v>
      </c>
      <c r="G154" s="16">
        <v>15687779</v>
      </c>
      <c r="H154" s="16">
        <v>10849437</v>
      </c>
      <c r="I154" s="16">
        <v>4838342</v>
      </c>
      <c r="J154" s="16">
        <v>4341963</v>
      </c>
      <c r="K154" s="16">
        <v>496379</v>
      </c>
      <c r="L154" s="16">
        <v>6399512</v>
      </c>
      <c r="M154" s="16">
        <v>4374675</v>
      </c>
      <c r="N154" s="16">
        <v>2024837</v>
      </c>
      <c r="O154" s="16">
        <v>1752397</v>
      </c>
      <c r="P154" s="16">
        <v>272440</v>
      </c>
      <c r="Q154" s="16">
        <v>6561755</v>
      </c>
      <c r="R154" s="16">
        <v>4303661</v>
      </c>
      <c r="S154" s="16">
        <v>2258094</v>
      </c>
      <c r="T154" s="16">
        <v>1954909</v>
      </c>
      <c r="U154" s="16">
        <v>303185</v>
      </c>
      <c r="V154" s="16">
        <v>1130621</v>
      </c>
      <c r="W154" s="16">
        <v>732665</v>
      </c>
      <c r="X154" s="16">
        <v>397956</v>
      </c>
      <c r="Y154" s="16">
        <v>330900</v>
      </c>
      <c r="Z154" s="16">
        <v>67056</v>
      </c>
      <c r="AA154" s="16">
        <v>8249619</v>
      </c>
      <c r="AB154" s="16">
        <v>5492281</v>
      </c>
      <c r="AC154" s="16">
        <v>2757338</v>
      </c>
      <c r="AD154" s="16">
        <v>2436640</v>
      </c>
      <c r="AE154" s="16">
        <v>320698</v>
      </c>
      <c r="AF154" s="16">
        <v>2802703</v>
      </c>
      <c r="AG154" s="16">
        <v>1936053</v>
      </c>
      <c r="AH154" s="16">
        <v>866650</v>
      </c>
      <c r="AI154" s="16">
        <v>766229</v>
      </c>
      <c r="AJ154" s="16">
        <v>100421</v>
      </c>
      <c r="AK154" s="16">
        <v>4684418</v>
      </c>
      <c r="AL154" s="16">
        <v>3339786</v>
      </c>
      <c r="AM154" s="16">
        <v>1344632</v>
      </c>
      <c r="AN154" s="16">
        <v>1183562</v>
      </c>
      <c r="AO154" s="16">
        <v>161070</v>
      </c>
    </row>
    <row r="155" spans="1:41" ht="13.5" customHeight="1" x14ac:dyDescent="0.2">
      <c r="A155" s="26">
        <v>44743</v>
      </c>
      <c r="B155" s="16">
        <v>43553356</v>
      </c>
      <c r="C155" s="16">
        <v>30908156</v>
      </c>
      <c r="D155" s="16">
        <v>12645200</v>
      </c>
      <c r="E155" s="16">
        <v>10911916</v>
      </c>
      <c r="F155" s="16">
        <v>1733284</v>
      </c>
      <c r="G155" s="16">
        <v>14953439</v>
      </c>
      <c r="H155" s="16">
        <v>10913236</v>
      </c>
      <c r="I155" s="16">
        <v>4040203</v>
      </c>
      <c r="J155" s="16">
        <v>3538551</v>
      </c>
      <c r="K155" s="16">
        <v>501652</v>
      </c>
      <c r="L155" s="16">
        <v>6190014</v>
      </c>
      <c r="M155" s="16">
        <v>4373751</v>
      </c>
      <c r="N155" s="16">
        <v>1816263</v>
      </c>
      <c r="O155" s="16">
        <v>1546870</v>
      </c>
      <c r="P155" s="16">
        <v>269393</v>
      </c>
      <c r="Q155" s="16">
        <v>6296117</v>
      </c>
      <c r="R155" s="16">
        <v>4225144</v>
      </c>
      <c r="S155" s="16">
        <v>2070973</v>
      </c>
      <c r="T155" s="16">
        <v>1756649</v>
      </c>
      <c r="U155" s="16">
        <v>314324</v>
      </c>
      <c r="V155" s="16">
        <v>1077416</v>
      </c>
      <c r="W155" s="16">
        <v>709915</v>
      </c>
      <c r="X155" s="16">
        <v>367501</v>
      </c>
      <c r="Y155" s="16">
        <v>298406</v>
      </c>
      <c r="Z155" s="16">
        <v>69095</v>
      </c>
      <c r="AA155" s="16">
        <v>7791532</v>
      </c>
      <c r="AB155" s="16">
        <v>5433844</v>
      </c>
      <c r="AC155" s="16">
        <v>2357688</v>
      </c>
      <c r="AD155" s="16">
        <v>2038864</v>
      </c>
      <c r="AE155" s="16">
        <v>318824</v>
      </c>
      <c r="AF155" s="16">
        <v>2692567</v>
      </c>
      <c r="AG155" s="16">
        <v>1928523</v>
      </c>
      <c r="AH155" s="16">
        <v>764044</v>
      </c>
      <c r="AI155" s="16">
        <v>664898</v>
      </c>
      <c r="AJ155" s="16">
        <v>99146</v>
      </c>
      <c r="AK155" s="16">
        <v>4552271</v>
      </c>
      <c r="AL155" s="16">
        <v>3323743</v>
      </c>
      <c r="AM155" s="16">
        <v>1228528</v>
      </c>
      <c r="AN155" s="16">
        <v>1067678</v>
      </c>
      <c r="AO155" s="16">
        <v>160850</v>
      </c>
    </row>
    <row r="156" spans="1:41" ht="13.5" customHeight="1" x14ac:dyDescent="0.2">
      <c r="A156" s="26">
        <v>44774</v>
      </c>
      <c r="B156" s="16">
        <v>50738433</v>
      </c>
      <c r="C156" s="16">
        <v>33713204</v>
      </c>
      <c r="D156" s="16">
        <v>17025229</v>
      </c>
      <c r="E156" s="16">
        <v>14765682</v>
      </c>
      <c r="F156" s="16">
        <v>2259547</v>
      </c>
      <c r="G156" s="16">
        <v>17525567</v>
      </c>
      <c r="H156" s="16">
        <v>11874498</v>
      </c>
      <c r="I156" s="16">
        <v>5651069</v>
      </c>
      <c r="J156" s="16">
        <v>5001893</v>
      </c>
      <c r="K156" s="16">
        <v>649176</v>
      </c>
      <c r="L156" s="16">
        <v>7029866</v>
      </c>
      <c r="M156" s="16">
        <v>4686080</v>
      </c>
      <c r="N156" s="16">
        <v>2343786</v>
      </c>
      <c r="O156" s="16">
        <v>1986765</v>
      </c>
      <c r="P156" s="16">
        <v>357021</v>
      </c>
      <c r="Q156" s="16">
        <v>7367719</v>
      </c>
      <c r="R156" s="16">
        <v>4692460</v>
      </c>
      <c r="S156" s="16">
        <v>2675259</v>
      </c>
      <c r="T156" s="16">
        <v>2277867</v>
      </c>
      <c r="U156" s="16">
        <v>397392</v>
      </c>
      <c r="V156" s="16">
        <v>1239093</v>
      </c>
      <c r="W156" s="16">
        <v>777192</v>
      </c>
      <c r="X156" s="16">
        <v>461901</v>
      </c>
      <c r="Y156" s="16">
        <v>375578</v>
      </c>
      <c r="Z156" s="16">
        <v>86323</v>
      </c>
      <c r="AA156" s="16">
        <v>9134589</v>
      </c>
      <c r="AB156" s="16">
        <v>5904804</v>
      </c>
      <c r="AC156" s="16">
        <v>3229785</v>
      </c>
      <c r="AD156" s="16">
        <v>2809547</v>
      </c>
      <c r="AE156" s="16">
        <v>420238</v>
      </c>
      <c r="AF156" s="16">
        <v>3169330</v>
      </c>
      <c r="AG156" s="16">
        <v>2122641</v>
      </c>
      <c r="AH156" s="16">
        <v>1046689</v>
      </c>
      <c r="AI156" s="16">
        <v>913824</v>
      </c>
      <c r="AJ156" s="16">
        <v>132865</v>
      </c>
      <c r="AK156" s="16">
        <v>5272269</v>
      </c>
      <c r="AL156" s="16">
        <v>3655529</v>
      </c>
      <c r="AM156" s="16">
        <v>1616740</v>
      </c>
      <c r="AN156" s="16">
        <v>1400208</v>
      </c>
      <c r="AO156" s="16">
        <v>216532</v>
      </c>
    </row>
    <row r="157" spans="1:41" ht="13.5" customHeight="1" x14ac:dyDescent="0.2">
      <c r="A157" s="26">
        <v>44805</v>
      </c>
      <c r="B157" s="16">
        <v>47441723</v>
      </c>
      <c r="C157" s="16">
        <v>31306050</v>
      </c>
      <c r="D157" s="16">
        <v>16135673</v>
      </c>
      <c r="E157" s="16">
        <v>14002266</v>
      </c>
      <c r="F157" s="16">
        <v>2133407</v>
      </c>
      <c r="G157" s="16">
        <v>16102751</v>
      </c>
      <c r="H157" s="16">
        <v>10850657</v>
      </c>
      <c r="I157" s="16">
        <v>5252094</v>
      </c>
      <c r="J157" s="16">
        <v>4640867</v>
      </c>
      <c r="K157" s="16">
        <v>611227</v>
      </c>
      <c r="L157" s="16">
        <v>6780585</v>
      </c>
      <c r="M157" s="16">
        <v>4504433</v>
      </c>
      <c r="N157" s="16">
        <v>2276152</v>
      </c>
      <c r="O157" s="16">
        <v>1933685</v>
      </c>
      <c r="P157" s="16">
        <v>342467</v>
      </c>
      <c r="Q157" s="16">
        <v>6845839</v>
      </c>
      <c r="R157" s="16">
        <v>4309440</v>
      </c>
      <c r="S157" s="16">
        <v>2536399</v>
      </c>
      <c r="T157" s="16">
        <v>2164087</v>
      </c>
      <c r="U157" s="16">
        <v>372312</v>
      </c>
      <c r="V157" s="16">
        <v>1167459</v>
      </c>
      <c r="W157" s="16">
        <v>720923</v>
      </c>
      <c r="X157" s="16">
        <v>446536</v>
      </c>
      <c r="Y157" s="16">
        <v>363889</v>
      </c>
      <c r="Z157" s="16">
        <v>82647</v>
      </c>
      <c r="AA157" s="16">
        <v>8635920</v>
      </c>
      <c r="AB157" s="16">
        <v>5522273</v>
      </c>
      <c r="AC157" s="16">
        <v>3113647</v>
      </c>
      <c r="AD157" s="16">
        <v>2717314</v>
      </c>
      <c r="AE157" s="16">
        <v>396333</v>
      </c>
      <c r="AF157" s="16">
        <v>2983592</v>
      </c>
      <c r="AG157" s="16">
        <v>1992600</v>
      </c>
      <c r="AH157" s="16">
        <v>990992</v>
      </c>
      <c r="AI157" s="16">
        <v>863217</v>
      </c>
      <c r="AJ157" s="16">
        <v>127775</v>
      </c>
      <c r="AK157" s="16">
        <v>4925577</v>
      </c>
      <c r="AL157" s="16">
        <v>3405724</v>
      </c>
      <c r="AM157" s="16">
        <v>1519853</v>
      </c>
      <c r="AN157" s="16">
        <v>1319207</v>
      </c>
      <c r="AO157" s="16">
        <v>200646</v>
      </c>
    </row>
    <row r="158" spans="1:41" ht="13.5" customHeight="1" x14ac:dyDescent="0.2">
      <c r="A158" s="26">
        <v>44835</v>
      </c>
      <c r="B158" s="16">
        <v>48253058</v>
      </c>
      <c r="C158" s="16">
        <v>33424899</v>
      </c>
      <c r="D158" s="16">
        <v>14828159</v>
      </c>
      <c r="E158" s="16">
        <v>12958835</v>
      </c>
      <c r="F158" s="16">
        <v>1869324</v>
      </c>
      <c r="G158" s="16">
        <v>16463522</v>
      </c>
      <c r="H158" s="16">
        <v>11639435</v>
      </c>
      <c r="I158" s="16">
        <v>4824087</v>
      </c>
      <c r="J158" s="16">
        <v>4286474</v>
      </c>
      <c r="K158" s="16">
        <v>537613</v>
      </c>
      <c r="L158" s="16">
        <v>6878538</v>
      </c>
      <c r="M158" s="16">
        <v>4741567</v>
      </c>
      <c r="N158" s="16">
        <v>2136971</v>
      </c>
      <c r="O158" s="16">
        <v>1838833</v>
      </c>
      <c r="P158" s="16">
        <v>298138</v>
      </c>
      <c r="Q158" s="16">
        <v>6957530</v>
      </c>
      <c r="R158" s="16">
        <v>4648853</v>
      </c>
      <c r="S158" s="16">
        <v>2308677</v>
      </c>
      <c r="T158" s="16">
        <v>1981055</v>
      </c>
      <c r="U158" s="16">
        <v>327622</v>
      </c>
      <c r="V158" s="16">
        <v>1185730</v>
      </c>
      <c r="W158" s="16">
        <v>778783</v>
      </c>
      <c r="X158" s="16">
        <v>406947</v>
      </c>
      <c r="Y158" s="16">
        <v>334699</v>
      </c>
      <c r="Z158" s="16">
        <v>72248</v>
      </c>
      <c r="AA158" s="16">
        <v>8655780</v>
      </c>
      <c r="AB158" s="16">
        <v>5858637</v>
      </c>
      <c r="AC158" s="16">
        <v>2797143</v>
      </c>
      <c r="AD158" s="16">
        <v>2453316</v>
      </c>
      <c r="AE158" s="16">
        <v>343827</v>
      </c>
      <c r="AF158" s="16">
        <v>3080572</v>
      </c>
      <c r="AG158" s="16">
        <v>2148768</v>
      </c>
      <c r="AH158" s="16">
        <v>931804</v>
      </c>
      <c r="AI158" s="16">
        <v>819134</v>
      </c>
      <c r="AJ158" s="16">
        <v>112670</v>
      </c>
      <c r="AK158" s="16">
        <v>5031386</v>
      </c>
      <c r="AL158" s="16">
        <v>3608856</v>
      </c>
      <c r="AM158" s="16">
        <v>1422530</v>
      </c>
      <c r="AN158" s="16">
        <v>1245324</v>
      </c>
      <c r="AO158" s="16">
        <v>177206</v>
      </c>
    </row>
    <row r="159" spans="1:41" ht="13.5" customHeight="1" x14ac:dyDescent="0.2">
      <c r="A159" s="26">
        <v>44866</v>
      </c>
      <c r="B159" s="16">
        <v>49437359</v>
      </c>
      <c r="C159" s="16">
        <v>33396699</v>
      </c>
      <c r="D159" s="16">
        <v>16040660</v>
      </c>
      <c r="E159" s="16">
        <v>13962428</v>
      </c>
      <c r="F159" s="16">
        <v>2078232</v>
      </c>
      <c r="G159" s="16">
        <v>17112357</v>
      </c>
      <c r="H159" s="16">
        <v>11790526</v>
      </c>
      <c r="I159" s="16">
        <v>5321831</v>
      </c>
      <c r="J159" s="16">
        <v>4715487</v>
      </c>
      <c r="K159" s="16">
        <v>606344</v>
      </c>
      <c r="L159" s="16">
        <v>6960934</v>
      </c>
      <c r="M159" s="16">
        <v>4679731</v>
      </c>
      <c r="N159" s="16">
        <v>2281203</v>
      </c>
      <c r="O159" s="16">
        <v>1952812</v>
      </c>
      <c r="P159" s="16">
        <v>328391</v>
      </c>
      <c r="Q159" s="16">
        <v>7159473</v>
      </c>
      <c r="R159" s="16">
        <v>4653949</v>
      </c>
      <c r="S159" s="16">
        <v>2505524</v>
      </c>
      <c r="T159" s="16">
        <v>2139472</v>
      </c>
      <c r="U159" s="16">
        <v>366052</v>
      </c>
      <c r="V159" s="16">
        <v>1211016</v>
      </c>
      <c r="W159" s="16">
        <v>770127</v>
      </c>
      <c r="X159" s="16">
        <v>440889</v>
      </c>
      <c r="Y159" s="16">
        <v>358947</v>
      </c>
      <c r="Z159" s="16">
        <v>81942</v>
      </c>
      <c r="AA159" s="16">
        <v>8712001</v>
      </c>
      <c r="AB159" s="16">
        <v>5739274</v>
      </c>
      <c r="AC159" s="16">
        <v>2972727</v>
      </c>
      <c r="AD159" s="16">
        <v>2596230</v>
      </c>
      <c r="AE159" s="16">
        <v>376497</v>
      </c>
      <c r="AF159" s="16">
        <v>3162310</v>
      </c>
      <c r="AG159" s="16">
        <v>2159941</v>
      </c>
      <c r="AH159" s="16">
        <v>1002369</v>
      </c>
      <c r="AI159" s="16">
        <v>876321</v>
      </c>
      <c r="AJ159" s="16">
        <v>126048</v>
      </c>
      <c r="AK159" s="16">
        <v>5119268</v>
      </c>
      <c r="AL159" s="16">
        <v>3603151</v>
      </c>
      <c r="AM159" s="16">
        <v>1516117</v>
      </c>
      <c r="AN159" s="16">
        <v>1323159</v>
      </c>
      <c r="AO159" s="16">
        <v>192958</v>
      </c>
    </row>
    <row r="160" spans="1:41" ht="13.5" customHeight="1" x14ac:dyDescent="0.2">
      <c r="A160" s="26">
        <v>44896</v>
      </c>
      <c r="B160" s="16">
        <v>47005899</v>
      </c>
      <c r="C160" s="16">
        <v>33251439</v>
      </c>
      <c r="D160" s="16">
        <v>13754460</v>
      </c>
      <c r="E160" s="16">
        <v>11739368</v>
      </c>
      <c r="F160" s="16">
        <v>2015092</v>
      </c>
      <c r="G160" s="16">
        <v>16026925</v>
      </c>
      <c r="H160" s="16">
        <v>11634867</v>
      </c>
      <c r="I160" s="16">
        <v>4392058</v>
      </c>
      <c r="J160" s="16">
        <v>3801675</v>
      </c>
      <c r="K160" s="16">
        <v>590383</v>
      </c>
      <c r="L160" s="16">
        <v>6682784</v>
      </c>
      <c r="M160" s="16">
        <v>4698230</v>
      </c>
      <c r="N160" s="16">
        <v>1984554</v>
      </c>
      <c r="O160" s="16">
        <v>1672609</v>
      </c>
      <c r="P160" s="16">
        <v>311945</v>
      </c>
      <c r="Q160" s="16">
        <v>6932536</v>
      </c>
      <c r="R160" s="16">
        <v>4643391</v>
      </c>
      <c r="S160" s="16">
        <v>2289145</v>
      </c>
      <c r="T160" s="16">
        <v>1927112</v>
      </c>
      <c r="U160" s="16">
        <v>362033</v>
      </c>
      <c r="V160" s="16">
        <v>1180143</v>
      </c>
      <c r="W160" s="16">
        <v>775712</v>
      </c>
      <c r="X160" s="16">
        <v>404431</v>
      </c>
      <c r="Y160" s="16">
        <v>324633</v>
      </c>
      <c r="Z160" s="16">
        <v>79798</v>
      </c>
      <c r="AA160" s="16">
        <v>8314311</v>
      </c>
      <c r="AB160" s="16">
        <v>5782046</v>
      </c>
      <c r="AC160" s="16">
        <v>2532265</v>
      </c>
      <c r="AD160" s="16">
        <v>2164156</v>
      </c>
      <c r="AE160" s="16">
        <v>368109</v>
      </c>
      <c r="AF160" s="16">
        <v>2943058</v>
      </c>
      <c r="AG160" s="16">
        <v>2111514</v>
      </c>
      <c r="AH160" s="16">
        <v>831544</v>
      </c>
      <c r="AI160" s="16">
        <v>712993</v>
      </c>
      <c r="AJ160" s="16">
        <v>118551</v>
      </c>
      <c r="AK160" s="16">
        <v>4926142</v>
      </c>
      <c r="AL160" s="16">
        <v>3605679</v>
      </c>
      <c r="AM160" s="16">
        <v>1320463</v>
      </c>
      <c r="AN160" s="16">
        <v>1136190</v>
      </c>
      <c r="AO160" s="16">
        <v>184273</v>
      </c>
    </row>
    <row r="161" spans="1:41" ht="13.5" customHeight="1" x14ac:dyDescent="0.2">
      <c r="A161" s="26">
        <v>44927</v>
      </c>
      <c r="B161" s="16">
        <v>41085677</v>
      </c>
      <c r="C161" s="16">
        <v>29692429</v>
      </c>
      <c r="D161" s="16">
        <v>11393248</v>
      </c>
      <c r="E161" s="16">
        <v>9660458</v>
      </c>
      <c r="F161" s="16">
        <v>1732790</v>
      </c>
      <c r="G161" s="16">
        <v>14158726</v>
      </c>
      <c r="H161" s="16">
        <v>10568922</v>
      </c>
      <c r="I161" s="16">
        <v>3589804</v>
      </c>
      <c r="J161" s="16">
        <v>3080455</v>
      </c>
      <c r="K161" s="16">
        <v>509349</v>
      </c>
      <c r="L161" s="16">
        <v>5773512</v>
      </c>
      <c r="M161" s="16">
        <v>4151031</v>
      </c>
      <c r="N161" s="16">
        <v>1622481</v>
      </c>
      <c r="O161" s="16">
        <v>1358925</v>
      </c>
      <c r="P161" s="16">
        <v>263556</v>
      </c>
      <c r="Q161" s="16">
        <v>6065997</v>
      </c>
      <c r="R161" s="16">
        <v>4104648</v>
      </c>
      <c r="S161" s="16">
        <v>1961349</v>
      </c>
      <c r="T161" s="16">
        <v>1644667</v>
      </c>
      <c r="U161" s="16">
        <v>316682</v>
      </c>
      <c r="V161" s="16">
        <v>1021615</v>
      </c>
      <c r="W161" s="16">
        <v>676008</v>
      </c>
      <c r="X161" s="16">
        <v>345607</v>
      </c>
      <c r="Y161" s="16">
        <v>275609</v>
      </c>
      <c r="Z161" s="16">
        <v>69998</v>
      </c>
      <c r="AA161" s="16">
        <v>7168523</v>
      </c>
      <c r="AB161" s="16">
        <v>5076265</v>
      </c>
      <c r="AC161" s="16">
        <v>2092258</v>
      </c>
      <c r="AD161" s="16">
        <v>1779742</v>
      </c>
      <c r="AE161" s="16">
        <v>312516</v>
      </c>
      <c r="AF161" s="16">
        <v>2592405</v>
      </c>
      <c r="AG161" s="16">
        <v>1897149</v>
      </c>
      <c r="AH161" s="16">
        <v>695256</v>
      </c>
      <c r="AI161" s="16">
        <v>592310</v>
      </c>
      <c r="AJ161" s="16">
        <v>102946</v>
      </c>
      <c r="AK161" s="16">
        <v>4304899</v>
      </c>
      <c r="AL161" s="16">
        <v>3218406</v>
      </c>
      <c r="AM161" s="16">
        <v>1086493</v>
      </c>
      <c r="AN161" s="16">
        <v>928750</v>
      </c>
      <c r="AO161" s="16">
        <v>157743</v>
      </c>
    </row>
    <row r="162" spans="1:41" ht="13.5" customHeight="1" x14ac:dyDescent="0.2">
      <c r="A162" s="26">
        <v>44958</v>
      </c>
      <c r="B162" s="16">
        <v>34606344</v>
      </c>
      <c r="C162" s="16">
        <v>25317083</v>
      </c>
      <c r="D162" s="16">
        <v>9289261</v>
      </c>
      <c r="E162" s="16">
        <v>7803023</v>
      </c>
      <c r="F162" s="16">
        <v>1486238</v>
      </c>
      <c r="G162" s="16">
        <v>11920992</v>
      </c>
      <c r="H162" s="16">
        <v>9006388</v>
      </c>
      <c r="I162" s="16">
        <v>2914604</v>
      </c>
      <c r="J162" s="16">
        <v>2478510</v>
      </c>
      <c r="K162" s="16">
        <v>436094</v>
      </c>
      <c r="L162" s="16">
        <v>4943822</v>
      </c>
      <c r="M162" s="16">
        <v>3599205</v>
      </c>
      <c r="N162" s="16">
        <v>1344617</v>
      </c>
      <c r="O162" s="16">
        <v>1116585</v>
      </c>
      <c r="P162" s="16">
        <v>228032</v>
      </c>
      <c r="Q162" s="16">
        <v>5012632</v>
      </c>
      <c r="R162" s="16">
        <v>3415933</v>
      </c>
      <c r="S162" s="16">
        <v>1596699</v>
      </c>
      <c r="T162" s="16">
        <v>1328880</v>
      </c>
      <c r="U162" s="16">
        <v>267819</v>
      </c>
      <c r="V162" s="16">
        <v>868387</v>
      </c>
      <c r="W162" s="16">
        <v>579816</v>
      </c>
      <c r="X162" s="16">
        <v>288571</v>
      </c>
      <c r="Y162" s="16">
        <v>228669</v>
      </c>
      <c r="Z162" s="16">
        <v>59902</v>
      </c>
      <c r="AA162" s="16">
        <v>6038163</v>
      </c>
      <c r="AB162" s="16">
        <v>4334271</v>
      </c>
      <c r="AC162" s="16">
        <v>1703892</v>
      </c>
      <c r="AD162" s="16">
        <v>1433064</v>
      </c>
      <c r="AE162" s="16">
        <v>270828</v>
      </c>
      <c r="AF162" s="16">
        <v>2186258</v>
      </c>
      <c r="AG162" s="16">
        <v>1620941</v>
      </c>
      <c r="AH162" s="16">
        <v>565317</v>
      </c>
      <c r="AI162" s="16">
        <v>476606</v>
      </c>
      <c r="AJ162" s="16">
        <v>88711</v>
      </c>
      <c r="AK162" s="16">
        <v>3636090</v>
      </c>
      <c r="AL162" s="16">
        <v>2760529</v>
      </c>
      <c r="AM162" s="16">
        <v>875561</v>
      </c>
      <c r="AN162" s="16">
        <v>740709</v>
      </c>
      <c r="AO162" s="16">
        <v>134852</v>
      </c>
    </row>
    <row r="163" spans="1:41" ht="13.5" customHeight="1" x14ac:dyDescent="0.2">
      <c r="A163" s="26">
        <v>44986</v>
      </c>
      <c r="B163" s="16">
        <v>53606469</v>
      </c>
      <c r="C163" s="16">
        <v>35866343</v>
      </c>
      <c r="D163" s="16">
        <v>17740126</v>
      </c>
      <c r="E163" s="16">
        <v>15442318</v>
      </c>
      <c r="F163" s="16">
        <v>2297808</v>
      </c>
      <c r="G163" s="16">
        <v>18615401</v>
      </c>
      <c r="H163" s="16">
        <v>12722544</v>
      </c>
      <c r="I163" s="16">
        <v>5892857</v>
      </c>
      <c r="J163" s="16">
        <v>5230031</v>
      </c>
      <c r="K163" s="16">
        <v>662826</v>
      </c>
      <c r="L163" s="16">
        <v>7474460</v>
      </c>
      <c r="M163" s="16">
        <v>5015735</v>
      </c>
      <c r="N163" s="16">
        <v>2458725</v>
      </c>
      <c r="O163" s="16">
        <v>2094071</v>
      </c>
      <c r="P163" s="16">
        <v>364654</v>
      </c>
      <c r="Q163" s="16">
        <v>7748311</v>
      </c>
      <c r="R163" s="16">
        <v>4976776</v>
      </c>
      <c r="S163" s="16">
        <v>2771535</v>
      </c>
      <c r="T163" s="16">
        <v>2377061</v>
      </c>
      <c r="U163" s="16">
        <v>394474</v>
      </c>
      <c r="V163" s="16">
        <v>1321675</v>
      </c>
      <c r="W163" s="16">
        <v>829793</v>
      </c>
      <c r="X163" s="16">
        <v>491882</v>
      </c>
      <c r="Y163" s="16">
        <v>403821</v>
      </c>
      <c r="Z163" s="16">
        <v>88061</v>
      </c>
      <c r="AA163" s="16">
        <v>9455452</v>
      </c>
      <c r="AB163" s="16">
        <v>6123393</v>
      </c>
      <c r="AC163" s="16">
        <v>3332059</v>
      </c>
      <c r="AD163" s="16">
        <v>2904981</v>
      </c>
      <c r="AE163" s="16">
        <v>427078</v>
      </c>
      <c r="AF163" s="16">
        <v>3515341</v>
      </c>
      <c r="AG163" s="16">
        <v>2371490</v>
      </c>
      <c r="AH163" s="16">
        <v>1143851</v>
      </c>
      <c r="AI163" s="16">
        <v>1003670</v>
      </c>
      <c r="AJ163" s="16">
        <v>140181</v>
      </c>
      <c r="AK163" s="16">
        <v>5475829</v>
      </c>
      <c r="AL163" s="16">
        <v>3826612</v>
      </c>
      <c r="AM163" s="16">
        <v>1649217</v>
      </c>
      <c r="AN163" s="16">
        <v>1428683</v>
      </c>
      <c r="AO163" s="16">
        <v>220534</v>
      </c>
    </row>
    <row r="164" spans="1:41" ht="13.5" customHeight="1" x14ac:dyDescent="0.2">
      <c r="A164" s="26">
        <v>45017</v>
      </c>
      <c r="B164" s="16">
        <v>49637585</v>
      </c>
      <c r="C164" s="16">
        <v>31990585</v>
      </c>
      <c r="D164" s="16">
        <v>17647000</v>
      </c>
      <c r="E164" s="16">
        <v>15538188</v>
      </c>
      <c r="F164" s="16">
        <v>2108812</v>
      </c>
      <c r="G164" s="16">
        <v>17221273</v>
      </c>
      <c r="H164" s="16">
        <v>11329150</v>
      </c>
      <c r="I164" s="16">
        <v>5892123</v>
      </c>
      <c r="J164" s="16">
        <v>5278205</v>
      </c>
      <c r="K164" s="16">
        <v>613918</v>
      </c>
      <c r="L164" s="16">
        <v>6973177</v>
      </c>
      <c r="M164" s="16">
        <v>4502907</v>
      </c>
      <c r="N164" s="16">
        <v>2470270</v>
      </c>
      <c r="O164" s="16">
        <v>2138127</v>
      </c>
      <c r="P164" s="16">
        <v>332143</v>
      </c>
      <c r="Q164" s="16">
        <v>7193683</v>
      </c>
      <c r="R164" s="16">
        <v>4460902</v>
      </c>
      <c r="S164" s="16">
        <v>2732781</v>
      </c>
      <c r="T164" s="16">
        <v>2368150</v>
      </c>
      <c r="U164" s="16">
        <v>364631</v>
      </c>
      <c r="V164" s="16">
        <v>1256981</v>
      </c>
      <c r="W164" s="16">
        <v>762357</v>
      </c>
      <c r="X164" s="16">
        <v>494624</v>
      </c>
      <c r="Y164" s="16">
        <v>412621</v>
      </c>
      <c r="Z164" s="16">
        <v>82003</v>
      </c>
      <c r="AA164" s="16">
        <v>8686675</v>
      </c>
      <c r="AB164" s="16">
        <v>5431308</v>
      </c>
      <c r="AC164" s="16">
        <v>3255367</v>
      </c>
      <c r="AD164" s="16">
        <v>2870101</v>
      </c>
      <c r="AE164" s="16">
        <v>385266</v>
      </c>
      <c r="AF164" s="16">
        <v>3166250</v>
      </c>
      <c r="AG164" s="16">
        <v>2044719</v>
      </c>
      <c r="AH164" s="16">
        <v>1121531</v>
      </c>
      <c r="AI164" s="16">
        <v>994165</v>
      </c>
      <c r="AJ164" s="16">
        <v>127366</v>
      </c>
      <c r="AK164" s="16">
        <v>5139546</v>
      </c>
      <c r="AL164" s="16">
        <v>3459242</v>
      </c>
      <c r="AM164" s="16">
        <v>1680304</v>
      </c>
      <c r="AN164" s="16">
        <v>1476819</v>
      </c>
      <c r="AO164" s="16">
        <v>203485</v>
      </c>
    </row>
    <row r="165" spans="1:41" ht="13.5" customHeight="1" x14ac:dyDescent="0.2">
      <c r="A165" s="26">
        <v>45047</v>
      </c>
      <c r="B165" s="16">
        <v>55181712</v>
      </c>
      <c r="C165" s="16">
        <v>35186554</v>
      </c>
      <c r="D165" s="16">
        <v>19995158</v>
      </c>
      <c r="E165" s="16">
        <v>17463217</v>
      </c>
      <c r="F165" s="16">
        <v>2531941</v>
      </c>
      <c r="G165" s="16">
        <v>19190204</v>
      </c>
      <c r="H165" s="16">
        <v>12469642</v>
      </c>
      <c r="I165" s="16">
        <v>6720562</v>
      </c>
      <c r="J165" s="16">
        <v>5983205</v>
      </c>
      <c r="K165" s="16">
        <v>737357</v>
      </c>
      <c r="L165" s="16">
        <v>7712976</v>
      </c>
      <c r="M165" s="16">
        <v>4937451</v>
      </c>
      <c r="N165" s="16">
        <v>2775525</v>
      </c>
      <c r="O165" s="16">
        <v>2379065</v>
      </c>
      <c r="P165" s="16">
        <v>396460</v>
      </c>
      <c r="Q165" s="16">
        <v>8013721</v>
      </c>
      <c r="R165" s="16">
        <v>4920555</v>
      </c>
      <c r="S165" s="16">
        <v>3093166</v>
      </c>
      <c r="T165" s="16">
        <v>2657463</v>
      </c>
      <c r="U165" s="16">
        <v>435703</v>
      </c>
      <c r="V165" s="16">
        <v>1395974</v>
      </c>
      <c r="W165" s="16">
        <v>834223</v>
      </c>
      <c r="X165" s="16">
        <v>561751</v>
      </c>
      <c r="Y165" s="16">
        <v>462522</v>
      </c>
      <c r="Z165" s="16">
        <v>99229</v>
      </c>
      <c r="AA165" s="16">
        <v>9701810</v>
      </c>
      <c r="AB165" s="16">
        <v>5983860</v>
      </c>
      <c r="AC165" s="16">
        <v>3717950</v>
      </c>
      <c r="AD165" s="16">
        <v>3247871</v>
      </c>
      <c r="AE165" s="16">
        <v>470079</v>
      </c>
      <c r="AF165" s="16">
        <v>3515493</v>
      </c>
      <c r="AG165" s="16">
        <v>2253503</v>
      </c>
      <c r="AH165" s="16">
        <v>1261990</v>
      </c>
      <c r="AI165" s="16">
        <v>1109160</v>
      </c>
      <c r="AJ165" s="16">
        <v>152830</v>
      </c>
      <c r="AK165" s="16">
        <v>5651534</v>
      </c>
      <c r="AL165" s="16">
        <v>3787320</v>
      </c>
      <c r="AM165" s="16">
        <v>1864214</v>
      </c>
      <c r="AN165" s="16">
        <v>1623931</v>
      </c>
      <c r="AO165" s="16">
        <v>240283</v>
      </c>
    </row>
    <row r="166" spans="1:41" ht="13.5" customHeight="1" x14ac:dyDescent="0.2">
      <c r="A166" s="26">
        <v>45078</v>
      </c>
      <c r="B166" s="16">
        <v>49740680</v>
      </c>
      <c r="C166" s="16">
        <v>33614485</v>
      </c>
      <c r="D166" s="16">
        <v>16126195</v>
      </c>
      <c r="E166" s="16">
        <v>14104703</v>
      </c>
      <c r="F166" s="16">
        <v>2021492</v>
      </c>
      <c r="G166" s="16">
        <v>17320269</v>
      </c>
      <c r="H166" s="16">
        <v>11898824</v>
      </c>
      <c r="I166" s="16">
        <v>5421445</v>
      </c>
      <c r="J166" s="16">
        <v>4818857</v>
      </c>
      <c r="K166" s="16">
        <v>602588</v>
      </c>
      <c r="L166" s="16">
        <v>6940171</v>
      </c>
      <c r="M166" s="16">
        <v>4684364</v>
      </c>
      <c r="N166" s="16">
        <v>2255807</v>
      </c>
      <c r="O166" s="16">
        <v>1944086</v>
      </c>
      <c r="P166" s="16">
        <v>311721</v>
      </c>
      <c r="Q166" s="16">
        <v>7213439</v>
      </c>
      <c r="R166" s="16">
        <v>4747584</v>
      </c>
      <c r="S166" s="16">
        <v>2465855</v>
      </c>
      <c r="T166" s="16">
        <v>2120666</v>
      </c>
      <c r="U166" s="16">
        <v>345189</v>
      </c>
      <c r="V166" s="16">
        <v>1273722</v>
      </c>
      <c r="W166" s="16">
        <v>822631</v>
      </c>
      <c r="X166" s="16">
        <v>451091</v>
      </c>
      <c r="Y166" s="16">
        <v>372017</v>
      </c>
      <c r="Z166" s="16">
        <v>79074</v>
      </c>
      <c r="AA166" s="16">
        <v>8704963</v>
      </c>
      <c r="AB166" s="16">
        <v>5719252</v>
      </c>
      <c r="AC166" s="16">
        <v>2985711</v>
      </c>
      <c r="AD166" s="16">
        <v>2622785</v>
      </c>
      <c r="AE166" s="16">
        <v>362926</v>
      </c>
      <c r="AF166" s="16">
        <v>3163774</v>
      </c>
      <c r="AG166" s="16">
        <v>2153496</v>
      </c>
      <c r="AH166" s="16">
        <v>1010278</v>
      </c>
      <c r="AI166" s="16">
        <v>885918</v>
      </c>
      <c r="AJ166" s="16">
        <v>124360</v>
      </c>
      <c r="AK166" s="16">
        <v>5124342</v>
      </c>
      <c r="AL166" s="16">
        <v>3588334</v>
      </c>
      <c r="AM166" s="16">
        <v>1536008</v>
      </c>
      <c r="AN166" s="16">
        <v>1340374</v>
      </c>
      <c r="AO166" s="16">
        <v>195634</v>
      </c>
    </row>
    <row r="167" spans="1:41" ht="13.5" customHeight="1" x14ac:dyDescent="0.2">
      <c r="A167" s="26">
        <v>45108</v>
      </c>
      <c r="B167" s="16">
        <v>49584032</v>
      </c>
      <c r="C167" s="16">
        <v>34940007</v>
      </c>
      <c r="D167" s="16">
        <v>14644025</v>
      </c>
      <c r="E167" s="16">
        <v>12485119</v>
      </c>
      <c r="F167" s="16">
        <v>2158906</v>
      </c>
      <c r="G167" s="16">
        <v>17173124</v>
      </c>
      <c r="H167" s="16">
        <v>12432510</v>
      </c>
      <c r="I167" s="16">
        <v>4740614</v>
      </c>
      <c r="J167" s="16">
        <v>4105350</v>
      </c>
      <c r="K167" s="16">
        <v>635264</v>
      </c>
      <c r="L167" s="16">
        <v>6990857</v>
      </c>
      <c r="M167" s="16">
        <v>4867787</v>
      </c>
      <c r="N167" s="16">
        <v>2123070</v>
      </c>
      <c r="O167" s="16">
        <v>1790729</v>
      </c>
      <c r="P167" s="16">
        <v>332341</v>
      </c>
      <c r="Q167" s="16">
        <v>7260838</v>
      </c>
      <c r="R167" s="16">
        <v>4892123</v>
      </c>
      <c r="S167" s="16">
        <v>2368715</v>
      </c>
      <c r="T167" s="16">
        <v>1993109</v>
      </c>
      <c r="U167" s="16">
        <v>375606</v>
      </c>
      <c r="V167" s="16">
        <v>1272927</v>
      </c>
      <c r="W167" s="16">
        <v>836996</v>
      </c>
      <c r="X167" s="16">
        <v>435931</v>
      </c>
      <c r="Y167" s="16">
        <v>349276</v>
      </c>
      <c r="Z167" s="16">
        <v>86655</v>
      </c>
      <c r="AA167" s="16">
        <v>8625210</v>
      </c>
      <c r="AB167" s="16">
        <v>5958155</v>
      </c>
      <c r="AC167" s="16">
        <v>2667055</v>
      </c>
      <c r="AD167" s="16">
        <v>2274908</v>
      </c>
      <c r="AE167" s="16">
        <v>392147</v>
      </c>
      <c r="AF167" s="16">
        <v>3118839</v>
      </c>
      <c r="AG167" s="16">
        <v>2237390</v>
      </c>
      <c r="AH167" s="16">
        <v>881449</v>
      </c>
      <c r="AI167" s="16">
        <v>749778</v>
      </c>
      <c r="AJ167" s="16">
        <v>131671</v>
      </c>
      <c r="AK167" s="16">
        <v>5142237</v>
      </c>
      <c r="AL167" s="16">
        <v>3715046</v>
      </c>
      <c r="AM167" s="16">
        <v>1427191</v>
      </c>
      <c r="AN167" s="16">
        <v>1221969</v>
      </c>
      <c r="AO167" s="16">
        <v>205222</v>
      </c>
    </row>
    <row r="168" spans="1:41" ht="13.5" customHeight="1" x14ac:dyDescent="0.2">
      <c r="A168" s="26">
        <v>45139</v>
      </c>
      <c r="B168" s="16">
        <v>53893786</v>
      </c>
      <c r="C168" s="16">
        <v>35994624</v>
      </c>
      <c r="D168" s="16">
        <v>17899162</v>
      </c>
      <c r="E168" s="16">
        <v>15455956</v>
      </c>
      <c r="F168" s="16">
        <v>2443206</v>
      </c>
      <c r="G168" s="16">
        <v>18649671</v>
      </c>
      <c r="H168" s="16">
        <v>12757782</v>
      </c>
      <c r="I168" s="16">
        <v>5891889</v>
      </c>
      <c r="J168" s="16">
        <v>5177743</v>
      </c>
      <c r="K168" s="16">
        <v>714146</v>
      </c>
      <c r="L168" s="16">
        <v>7531282</v>
      </c>
      <c r="M168" s="16">
        <v>5005489</v>
      </c>
      <c r="N168" s="16">
        <v>2525793</v>
      </c>
      <c r="O168" s="16">
        <v>2145355</v>
      </c>
      <c r="P168" s="16">
        <v>380438</v>
      </c>
      <c r="Q168" s="16">
        <v>7916095</v>
      </c>
      <c r="R168" s="16">
        <v>5101946</v>
      </c>
      <c r="S168" s="16">
        <v>2814149</v>
      </c>
      <c r="T168" s="16">
        <v>2389291</v>
      </c>
      <c r="U168" s="16">
        <v>424858</v>
      </c>
      <c r="V168" s="16">
        <v>1355939</v>
      </c>
      <c r="W168" s="16">
        <v>851458</v>
      </c>
      <c r="X168" s="16">
        <v>504481</v>
      </c>
      <c r="Y168" s="16">
        <v>407471</v>
      </c>
      <c r="Z168" s="16">
        <v>97010</v>
      </c>
      <c r="AA168" s="16">
        <v>9462469</v>
      </c>
      <c r="AB168" s="16">
        <v>6113110</v>
      </c>
      <c r="AC168" s="16">
        <v>3349359</v>
      </c>
      <c r="AD168" s="16">
        <v>2909149</v>
      </c>
      <c r="AE168" s="16">
        <v>440210</v>
      </c>
      <c r="AF168" s="16">
        <v>3426045</v>
      </c>
      <c r="AG168" s="16">
        <v>2310852</v>
      </c>
      <c r="AH168" s="16">
        <v>1115193</v>
      </c>
      <c r="AI168" s="16">
        <v>963355</v>
      </c>
      <c r="AJ168" s="16">
        <v>151838</v>
      </c>
      <c r="AK168" s="16">
        <v>5552285</v>
      </c>
      <c r="AL168" s="16">
        <v>3853987</v>
      </c>
      <c r="AM168" s="16">
        <v>1698298</v>
      </c>
      <c r="AN168" s="16">
        <v>1463592</v>
      </c>
      <c r="AO168" s="16">
        <v>234706</v>
      </c>
    </row>
    <row r="169" spans="1:41" ht="13.5" customHeight="1" x14ac:dyDescent="0.2">
      <c r="A169" s="26">
        <v>45170</v>
      </c>
      <c r="B169" s="16">
        <v>49675843</v>
      </c>
      <c r="C169" s="16">
        <v>32940071</v>
      </c>
      <c r="D169" s="16">
        <v>16735772</v>
      </c>
      <c r="E169" s="16">
        <v>14478299</v>
      </c>
      <c r="F169" s="16">
        <v>2257473</v>
      </c>
      <c r="G169" s="16">
        <v>17072550</v>
      </c>
      <c r="H169" s="16">
        <v>11517807</v>
      </c>
      <c r="I169" s="16">
        <v>5554743</v>
      </c>
      <c r="J169" s="16">
        <v>4893991</v>
      </c>
      <c r="K169" s="16">
        <v>660752</v>
      </c>
      <c r="L169" s="16">
        <v>7099129</v>
      </c>
      <c r="M169" s="16">
        <v>4724828</v>
      </c>
      <c r="N169" s="16">
        <v>2374301</v>
      </c>
      <c r="O169" s="16">
        <v>2016258</v>
      </c>
      <c r="P169" s="16">
        <v>358043</v>
      </c>
      <c r="Q169" s="16">
        <v>7191275</v>
      </c>
      <c r="R169" s="16">
        <v>4595103</v>
      </c>
      <c r="S169" s="16">
        <v>2596172</v>
      </c>
      <c r="T169" s="16">
        <v>2210881</v>
      </c>
      <c r="U169" s="16">
        <v>385291</v>
      </c>
      <c r="V169" s="16">
        <v>1238181</v>
      </c>
      <c r="W169" s="16">
        <v>770300</v>
      </c>
      <c r="X169" s="16">
        <v>467881</v>
      </c>
      <c r="Y169" s="16">
        <v>378680</v>
      </c>
      <c r="Z169" s="16">
        <v>89201</v>
      </c>
      <c r="AA169" s="16">
        <v>8681256</v>
      </c>
      <c r="AB169" s="16">
        <v>5581007</v>
      </c>
      <c r="AC169" s="16">
        <v>3100249</v>
      </c>
      <c r="AD169" s="16">
        <v>2695667</v>
      </c>
      <c r="AE169" s="16">
        <v>404582</v>
      </c>
      <c r="AF169" s="16">
        <v>3158703</v>
      </c>
      <c r="AG169" s="16">
        <v>2125901</v>
      </c>
      <c r="AH169" s="16">
        <v>1032802</v>
      </c>
      <c r="AI169" s="16">
        <v>894708</v>
      </c>
      <c r="AJ169" s="16">
        <v>138094</v>
      </c>
      <c r="AK169" s="16">
        <v>5234749</v>
      </c>
      <c r="AL169" s="16">
        <v>3625125</v>
      </c>
      <c r="AM169" s="16">
        <v>1609624</v>
      </c>
      <c r="AN169" s="16">
        <v>1388114</v>
      </c>
      <c r="AO169" s="16">
        <v>221510</v>
      </c>
    </row>
    <row r="170" spans="1:41" ht="13.5" customHeight="1" x14ac:dyDescent="0.2">
      <c r="A170" s="26">
        <v>45200</v>
      </c>
      <c r="B170" s="16">
        <v>54628688</v>
      </c>
      <c r="C170" s="16">
        <v>35819184</v>
      </c>
      <c r="D170" s="16">
        <v>18809504</v>
      </c>
      <c r="E170" s="16">
        <v>16280580</v>
      </c>
      <c r="F170" s="16">
        <v>2528924</v>
      </c>
      <c r="G170" s="16">
        <v>18800171</v>
      </c>
      <c r="H170" s="16">
        <v>12563527</v>
      </c>
      <c r="I170" s="16">
        <v>6236644</v>
      </c>
      <c r="J170" s="16">
        <v>5502035</v>
      </c>
      <c r="K170" s="16">
        <v>734609</v>
      </c>
      <c r="L170" s="16">
        <v>7571921</v>
      </c>
      <c r="M170" s="16">
        <v>4928187</v>
      </c>
      <c r="N170" s="16">
        <v>2643734</v>
      </c>
      <c r="O170" s="16">
        <v>2248122</v>
      </c>
      <c r="P170" s="16">
        <v>395612</v>
      </c>
      <c r="Q170" s="16">
        <v>7909371</v>
      </c>
      <c r="R170" s="16">
        <v>4998032</v>
      </c>
      <c r="S170" s="16">
        <v>2911339</v>
      </c>
      <c r="T170" s="16">
        <v>2479141</v>
      </c>
      <c r="U170" s="16">
        <v>432198</v>
      </c>
      <c r="V170" s="16">
        <v>1353080</v>
      </c>
      <c r="W170" s="16">
        <v>826242</v>
      </c>
      <c r="X170" s="16">
        <v>526838</v>
      </c>
      <c r="Y170" s="16">
        <v>427200</v>
      </c>
      <c r="Z170" s="16">
        <v>99638</v>
      </c>
      <c r="AA170" s="16">
        <v>9428690</v>
      </c>
      <c r="AB170" s="16">
        <v>6015986</v>
      </c>
      <c r="AC170" s="16">
        <v>3412704</v>
      </c>
      <c r="AD170" s="16">
        <v>2961189</v>
      </c>
      <c r="AE170" s="16">
        <v>451515</v>
      </c>
      <c r="AF170" s="16">
        <v>3592313</v>
      </c>
      <c r="AG170" s="16">
        <v>2402435</v>
      </c>
      <c r="AH170" s="16">
        <v>1189878</v>
      </c>
      <c r="AI170" s="16">
        <v>1034606</v>
      </c>
      <c r="AJ170" s="16">
        <v>155272</v>
      </c>
      <c r="AK170" s="16">
        <v>5973142</v>
      </c>
      <c r="AL170" s="16">
        <v>4084775</v>
      </c>
      <c r="AM170" s="16">
        <v>1888367</v>
      </c>
      <c r="AN170" s="16">
        <v>1628287</v>
      </c>
      <c r="AO170" s="16">
        <v>260080</v>
      </c>
    </row>
    <row r="171" spans="1:41" ht="13.5" customHeight="1" x14ac:dyDescent="0.2">
      <c r="A171" s="26">
        <v>45231</v>
      </c>
      <c r="B171" s="16">
        <v>55641824</v>
      </c>
      <c r="C171" s="16">
        <v>36541615</v>
      </c>
      <c r="D171" s="16">
        <v>19100209</v>
      </c>
      <c r="E171" s="16">
        <v>16471344</v>
      </c>
      <c r="F171" s="16">
        <v>2628865</v>
      </c>
      <c r="G171" s="16">
        <v>19182832</v>
      </c>
      <c r="H171" s="16">
        <v>12877619</v>
      </c>
      <c r="I171" s="16">
        <v>6305213</v>
      </c>
      <c r="J171" s="16">
        <v>5540882</v>
      </c>
      <c r="K171" s="16">
        <v>764331</v>
      </c>
      <c r="L171" s="16">
        <v>7834755</v>
      </c>
      <c r="M171" s="16">
        <v>5100988</v>
      </c>
      <c r="N171" s="16">
        <v>2733767</v>
      </c>
      <c r="O171" s="16">
        <v>2312228</v>
      </c>
      <c r="P171" s="16">
        <v>421539</v>
      </c>
      <c r="Q171" s="16">
        <v>8047123</v>
      </c>
      <c r="R171" s="16">
        <v>5090795</v>
      </c>
      <c r="S171" s="16">
        <v>2956328</v>
      </c>
      <c r="T171" s="16">
        <v>2509949</v>
      </c>
      <c r="U171" s="16">
        <v>446379</v>
      </c>
      <c r="V171" s="16">
        <v>1346719</v>
      </c>
      <c r="W171" s="16">
        <v>821925</v>
      </c>
      <c r="X171" s="16">
        <v>524794</v>
      </c>
      <c r="Y171" s="16">
        <v>424384</v>
      </c>
      <c r="Z171" s="16">
        <v>100410</v>
      </c>
      <c r="AA171" s="16">
        <v>9530774</v>
      </c>
      <c r="AB171" s="16">
        <v>6056435</v>
      </c>
      <c r="AC171" s="16">
        <v>3474339</v>
      </c>
      <c r="AD171" s="16">
        <v>3007462</v>
      </c>
      <c r="AE171" s="16">
        <v>466877</v>
      </c>
      <c r="AF171" s="16">
        <v>3627603</v>
      </c>
      <c r="AG171" s="16">
        <v>2437729</v>
      </c>
      <c r="AH171" s="16">
        <v>1189874</v>
      </c>
      <c r="AI171" s="16">
        <v>1031117</v>
      </c>
      <c r="AJ171" s="16">
        <v>158757</v>
      </c>
      <c r="AK171" s="16">
        <v>6072018</v>
      </c>
      <c r="AL171" s="16">
        <v>4156124</v>
      </c>
      <c r="AM171" s="16">
        <v>1915894</v>
      </c>
      <c r="AN171" s="16">
        <v>1645322</v>
      </c>
      <c r="AO171" s="16">
        <v>270572</v>
      </c>
    </row>
    <row r="172" spans="1:41" ht="13.5" customHeight="1" x14ac:dyDescent="0.2">
      <c r="A172" s="26">
        <v>45261</v>
      </c>
      <c r="B172" s="16">
        <v>51796167</v>
      </c>
      <c r="C172" s="16">
        <v>35725604</v>
      </c>
      <c r="D172" s="16">
        <v>16070563</v>
      </c>
      <c r="E172" s="16">
        <v>13613296</v>
      </c>
      <c r="F172" s="16">
        <v>2457267</v>
      </c>
      <c r="G172" s="16">
        <v>17424441</v>
      </c>
      <c r="H172" s="16">
        <v>12384583</v>
      </c>
      <c r="I172" s="16">
        <v>5039858</v>
      </c>
      <c r="J172" s="16">
        <v>4337289</v>
      </c>
      <c r="K172" s="16">
        <v>702569</v>
      </c>
      <c r="L172" s="16">
        <v>7897754</v>
      </c>
      <c r="M172" s="16">
        <v>5400681</v>
      </c>
      <c r="N172" s="16">
        <v>2497073</v>
      </c>
      <c r="O172" s="16">
        <v>2069670</v>
      </c>
      <c r="P172" s="16">
        <v>427403</v>
      </c>
      <c r="Q172" s="16">
        <v>7558408</v>
      </c>
      <c r="R172" s="16">
        <v>4934122</v>
      </c>
      <c r="S172" s="16">
        <v>2624286</v>
      </c>
      <c r="T172" s="16">
        <v>2205491</v>
      </c>
      <c r="U172" s="16">
        <v>418795</v>
      </c>
      <c r="V172" s="16">
        <v>1191542</v>
      </c>
      <c r="W172" s="16">
        <v>757935</v>
      </c>
      <c r="X172" s="16">
        <v>433607</v>
      </c>
      <c r="Y172" s="16">
        <v>347375</v>
      </c>
      <c r="Z172" s="16">
        <v>86232</v>
      </c>
      <c r="AA172" s="16">
        <v>8844392</v>
      </c>
      <c r="AB172" s="16">
        <v>5960878</v>
      </c>
      <c r="AC172" s="16">
        <v>2883514</v>
      </c>
      <c r="AD172" s="16">
        <v>2445869</v>
      </c>
      <c r="AE172" s="16">
        <v>437645</v>
      </c>
      <c r="AF172" s="16">
        <v>3148241</v>
      </c>
      <c r="AG172" s="16">
        <v>2203939</v>
      </c>
      <c r="AH172" s="16">
        <v>944302</v>
      </c>
      <c r="AI172" s="16">
        <v>807587</v>
      </c>
      <c r="AJ172" s="16">
        <v>136715</v>
      </c>
      <c r="AK172" s="16">
        <v>5731389</v>
      </c>
      <c r="AL172" s="16">
        <v>4083466</v>
      </c>
      <c r="AM172" s="16">
        <v>1647923</v>
      </c>
      <c r="AN172" s="16">
        <v>1400015</v>
      </c>
      <c r="AO172" s="16">
        <v>247908</v>
      </c>
    </row>
    <row r="173" spans="1:41" ht="13.5" customHeight="1" x14ac:dyDescent="0.2">
      <c r="A173" s="26">
        <v>45292</v>
      </c>
      <c r="B173" s="16">
        <v>47035620</v>
      </c>
      <c r="C173" s="16">
        <v>33164738</v>
      </c>
      <c r="D173" s="16">
        <v>13870882</v>
      </c>
      <c r="E173" s="16">
        <v>11672366</v>
      </c>
      <c r="F173" s="16">
        <v>2198516</v>
      </c>
      <c r="G173" s="16">
        <v>15998516</v>
      </c>
      <c r="H173" s="16">
        <v>11710236</v>
      </c>
      <c r="I173" s="16">
        <v>4288280</v>
      </c>
      <c r="J173" s="16">
        <v>3656998</v>
      </c>
      <c r="K173" s="16">
        <v>631282</v>
      </c>
      <c r="L173" s="16">
        <v>7066282</v>
      </c>
      <c r="M173" s="16">
        <v>4910808</v>
      </c>
      <c r="N173" s="16">
        <v>2155474</v>
      </c>
      <c r="O173" s="16">
        <v>1780747</v>
      </c>
      <c r="P173" s="16">
        <v>374727</v>
      </c>
      <c r="Q173" s="16">
        <v>6937859</v>
      </c>
      <c r="R173" s="16">
        <v>4590775</v>
      </c>
      <c r="S173" s="16">
        <v>2347084</v>
      </c>
      <c r="T173" s="16">
        <v>1962914</v>
      </c>
      <c r="U173" s="16">
        <v>384170</v>
      </c>
      <c r="V173" s="16">
        <v>1050468</v>
      </c>
      <c r="W173" s="16">
        <v>674309</v>
      </c>
      <c r="X173" s="16">
        <v>376159</v>
      </c>
      <c r="Y173" s="16">
        <v>297994</v>
      </c>
      <c r="Z173" s="16">
        <v>78165</v>
      </c>
      <c r="AA173" s="16">
        <v>7934137</v>
      </c>
      <c r="AB173" s="16">
        <v>5454430</v>
      </c>
      <c r="AC173" s="16">
        <v>2479707</v>
      </c>
      <c r="AD173" s="16">
        <v>2092734</v>
      </c>
      <c r="AE173" s="16">
        <v>386973</v>
      </c>
      <c r="AF173" s="16">
        <v>2864902</v>
      </c>
      <c r="AG173" s="16">
        <v>2053351</v>
      </c>
      <c r="AH173" s="16">
        <v>811551</v>
      </c>
      <c r="AI173" s="16">
        <v>687882</v>
      </c>
      <c r="AJ173" s="16">
        <v>123669</v>
      </c>
      <c r="AK173" s="16">
        <v>5183456</v>
      </c>
      <c r="AL173" s="16">
        <v>3770829</v>
      </c>
      <c r="AM173" s="16">
        <v>1412627</v>
      </c>
      <c r="AN173" s="16">
        <v>1193097</v>
      </c>
      <c r="AO173" s="16">
        <v>219530</v>
      </c>
    </row>
    <row r="174" spans="1:41" ht="13.5" customHeight="1" x14ac:dyDescent="0.2">
      <c r="A174" s="26">
        <v>45323</v>
      </c>
      <c r="B174" s="16">
        <v>40342535</v>
      </c>
      <c r="C174" s="16">
        <v>28774284</v>
      </c>
      <c r="D174" s="16">
        <v>11568251</v>
      </c>
      <c r="E174" s="16">
        <v>9639472</v>
      </c>
      <c r="F174" s="16">
        <v>1928779</v>
      </c>
      <c r="G174" s="16">
        <v>13554921</v>
      </c>
      <c r="H174" s="16">
        <v>10036481</v>
      </c>
      <c r="I174" s="16">
        <v>3518440</v>
      </c>
      <c r="J174" s="16">
        <v>2971182</v>
      </c>
      <c r="K174" s="16">
        <v>547258</v>
      </c>
      <c r="L174" s="16">
        <v>6234461</v>
      </c>
      <c r="M174" s="16">
        <v>4385319</v>
      </c>
      <c r="N174" s="16">
        <v>1849142</v>
      </c>
      <c r="O174" s="16">
        <v>1515688</v>
      </c>
      <c r="P174" s="16">
        <v>333454</v>
      </c>
      <c r="Q174" s="16">
        <v>5901993</v>
      </c>
      <c r="R174" s="16">
        <v>3927881</v>
      </c>
      <c r="S174" s="16">
        <v>1974112</v>
      </c>
      <c r="T174" s="16">
        <v>1638681</v>
      </c>
      <c r="U174" s="16">
        <v>335431</v>
      </c>
      <c r="V174" s="16">
        <v>915016</v>
      </c>
      <c r="W174" s="16">
        <v>594241</v>
      </c>
      <c r="X174" s="16">
        <v>320775</v>
      </c>
      <c r="Y174" s="16">
        <v>251334</v>
      </c>
      <c r="Z174" s="16">
        <v>69441</v>
      </c>
      <c r="AA174" s="16">
        <v>6769723</v>
      </c>
      <c r="AB174" s="16">
        <v>4726784</v>
      </c>
      <c r="AC174" s="16">
        <v>2042939</v>
      </c>
      <c r="AD174" s="16">
        <v>1702483</v>
      </c>
      <c r="AE174" s="16">
        <v>340456</v>
      </c>
      <c r="AF174" s="16">
        <v>2492354</v>
      </c>
      <c r="AG174" s="16">
        <v>1804565</v>
      </c>
      <c r="AH174" s="16">
        <v>687789</v>
      </c>
      <c r="AI174" s="16">
        <v>578616</v>
      </c>
      <c r="AJ174" s="16">
        <v>109173</v>
      </c>
      <c r="AK174" s="16">
        <v>4474067</v>
      </c>
      <c r="AL174" s="16">
        <v>3299013</v>
      </c>
      <c r="AM174" s="16">
        <v>1175054</v>
      </c>
      <c r="AN174" s="16">
        <v>981488</v>
      </c>
      <c r="AO174" s="16">
        <v>193566</v>
      </c>
    </row>
    <row r="175" spans="1:41" ht="13.5" customHeight="1" x14ac:dyDescent="0.2">
      <c r="A175" s="26">
        <v>45352</v>
      </c>
      <c r="B175" s="16">
        <v>54276128</v>
      </c>
      <c r="C175" s="16">
        <v>35685723</v>
      </c>
      <c r="D175" s="16">
        <v>18590405</v>
      </c>
      <c r="E175" s="16">
        <v>15987654</v>
      </c>
      <c r="F175" s="16">
        <v>2602751</v>
      </c>
      <c r="G175" s="16">
        <v>18394782</v>
      </c>
      <c r="H175" s="16">
        <v>12394919</v>
      </c>
      <c r="I175" s="16">
        <v>5999863</v>
      </c>
      <c r="J175" s="16">
        <v>5275298</v>
      </c>
      <c r="K175" s="16">
        <v>724565</v>
      </c>
      <c r="L175" s="16">
        <v>8222528</v>
      </c>
      <c r="M175" s="16">
        <v>5348906</v>
      </c>
      <c r="N175" s="16">
        <v>2873622</v>
      </c>
      <c r="O175" s="16">
        <v>2400605</v>
      </c>
      <c r="P175" s="16">
        <v>473017</v>
      </c>
      <c r="Q175" s="16">
        <v>7774983</v>
      </c>
      <c r="R175" s="16">
        <v>4896134</v>
      </c>
      <c r="S175" s="16">
        <v>2878849</v>
      </c>
      <c r="T175" s="16">
        <v>2447715</v>
      </c>
      <c r="U175" s="16">
        <v>431134</v>
      </c>
      <c r="V175" s="16">
        <v>1186295</v>
      </c>
      <c r="W175" s="16">
        <v>723231</v>
      </c>
      <c r="X175" s="16">
        <v>463064</v>
      </c>
      <c r="Y175" s="16">
        <v>373966</v>
      </c>
      <c r="Z175" s="16">
        <v>89098</v>
      </c>
      <c r="AA175" s="16">
        <v>9261961</v>
      </c>
      <c r="AB175" s="16">
        <v>5890229</v>
      </c>
      <c r="AC175" s="16">
        <v>3371732</v>
      </c>
      <c r="AD175" s="16">
        <v>2904736</v>
      </c>
      <c r="AE175" s="16">
        <v>466996</v>
      </c>
      <c r="AF175" s="16">
        <v>3521369</v>
      </c>
      <c r="AG175" s="16">
        <v>2349925</v>
      </c>
      <c r="AH175" s="16">
        <v>1171444</v>
      </c>
      <c r="AI175" s="16">
        <v>1017329</v>
      </c>
      <c r="AJ175" s="16">
        <v>154115</v>
      </c>
      <c r="AK175" s="16">
        <v>5914210</v>
      </c>
      <c r="AL175" s="16">
        <v>4082379</v>
      </c>
      <c r="AM175" s="16">
        <v>1831831</v>
      </c>
      <c r="AN175" s="16">
        <v>1568005</v>
      </c>
      <c r="AO175" s="16">
        <v>263826</v>
      </c>
    </row>
    <row r="176" spans="1:41" ht="13.5" customHeight="1" x14ac:dyDescent="0.2">
      <c r="A176" s="26">
        <v>45383</v>
      </c>
      <c r="B176" s="16">
        <v>59555551</v>
      </c>
      <c r="C176" s="16">
        <v>37254348</v>
      </c>
      <c r="D176" s="16">
        <v>22301203</v>
      </c>
      <c r="E176" s="16">
        <v>19401094</v>
      </c>
      <c r="F176" s="16">
        <v>2900109</v>
      </c>
      <c r="G176" s="16">
        <v>20468105</v>
      </c>
      <c r="H176" s="16">
        <v>13070603</v>
      </c>
      <c r="I176" s="16">
        <v>7397502</v>
      </c>
      <c r="J176" s="16">
        <v>6575908</v>
      </c>
      <c r="K176" s="16">
        <v>821594</v>
      </c>
      <c r="L176" s="16">
        <v>8909724</v>
      </c>
      <c r="M176" s="16">
        <v>5521835</v>
      </c>
      <c r="N176" s="16">
        <v>3387889</v>
      </c>
      <c r="O176" s="16">
        <v>2862219</v>
      </c>
      <c r="P176" s="16">
        <v>525670</v>
      </c>
      <c r="Q176" s="16">
        <v>8451585</v>
      </c>
      <c r="R176" s="16">
        <v>5109287</v>
      </c>
      <c r="S176" s="16">
        <v>3342298</v>
      </c>
      <c r="T176" s="16">
        <v>2870425</v>
      </c>
      <c r="U176" s="16">
        <v>471873</v>
      </c>
      <c r="V176" s="16">
        <v>1277436</v>
      </c>
      <c r="W176" s="16">
        <v>741702</v>
      </c>
      <c r="X176" s="16">
        <v>535734</v>
      </c>
      <c r="Y176" s="16">
        <v>438528</v>
      </c>
      <c r="Z176" s="16">
        <v>97206</v>
      </c>
      <c r="AA176" s="16">
        <v>10092958</v>
      </c>
      <c r="AB176" s="16">
        <v>6091415</v>
      </c>
      <c r="AC176" s="16">
        <v>4001543</v>
      </c>
      <c r="AD176" s="16">
        <v>3486603</v>
      </c>
      <c r="AE176" s="16">
        <v>514940</v>
      </c>
      <c r="AF176" s="16">
        <v>3776981</v>
      </c>
      <c r="AG176" s="16">
        <v>2396046</v>
      </c>
      <c r="AH176" s="16">
        <v>1380935</v>
      </c>
      <c r="AI176" s="16">
        <v>1211228</v>
      </c>
      <c r="AJ176" s="16">
        <v>169707</v>
      </c>
      <c r="AK176" s="16">
        <v>6578762</v>
      </c>
      <c r="AL176" s="16">
        <v>4323460</v>
      </c>
      <c r="AM176" s="16">
        <v>2255302</v>
      </c>
      <c r="AN176" s="16">
        <v>1956183</v>
      </c>
      <c r="AO176" s="16">
        <v>299119</v>
      </c>
    </row>
    <row r="177" spans="1:41" ht="13.5" customHeight="1" x14ac:dyDescent="0.2">
      <c r="A177" s="26">
        <v>45413</v>
      </c>
      <c r="B177" s="16">
        <v>55336826</v>
      </c>
      <c r="C177" s="16">
        <v>34828408</v>
      </c>
      <c r="D177" s="16">
        <v>20508418</v>
      </c>
      <c r="E177" s="16">
        <v>17707824</v>
      </c>
      <c r="F177" s="16">
        <v>2800594</v>
      </c>
      <c r="G177" s="16">
        <v>18886939</v>
      </c>
      <c r="H177" s="16">
        <v>12167722</v>
      </c>
      <c r="I177" s="16">
        <v>6719217</v>
      </c>
      <c r="J177" s="16">
        <v>5921855</v>
      </c>
      <c r="K177" s="16">
        <v>797362</v>
      </c>
      <c r="L177" s="16">
        <v>8228395</v>
      </c>
      <c r="M177" s="16">
        <v>5134669</v>
      </c>
      <c r="N177" s="16">
        <v>3093726</v>
      </c>
      <c r="O177" s="16">
        <v>2595476</v>
      </c>
      <c r="P177" s="16">
        <v>498250</v>
      </c>
      <c r="Q177" s="16">
        <v>7897478</v>
      </c>
      <c r="R177" s="16">
        <v>4779839</v>
      </c>
      <c r="S177" s="16">
        <v>3117639</v>
      </c>
      <c r="T177" s="16">
        <v>2656589</v>
      </c>
      <c r="U177" s="16">
        <v>461050</v>
      </c>
      <c r="V177" s="16">
        <v>1201484</v>
      </c>
      <c r="W177" s="16">
        <v>699657</v>
      </c>
      <c r="X177" s="16">
        <v>501827</v>
      </c>
      <c r="Y177" s="16">
        <v>406932</v>
      </c>
      <c r="Z177" s="16">
        <v>94895</v>
      </c>
      <c r="AA177" s="16">
        <v>9468429</v>
      </c>
      <c r="AB177" s="16">
        <v>5742638</v>
      </c>
      <c r="AC177" s="16">
        <v>3725791</v>
      </c>
      <c r="AD177" s="16">
        <v>3227097</v>
      </c>
      <c r="AE177" s="16">
        <v>498694</v>
      </c>
      <c r="AF177" s="16">
        <v>3456125</v>
      </c>
      <c r="AG177" s="16">
        <v>2201244</v>
      </c>
      <c r="AH177" s="16">
        <v>1254881</v>
      </c>
      <c r="AI177" s="16">
        <v>1093274</v>
      </c>
      <c r="AJ177" s="16">
        <v>161607</v>
      </c>
      <c r="AK177" s="16">
        <v>6197976</v>
      </c>
      <c r="AL177" s="16">
        <v>4102639</v>
      </c>
      <c r="AM177" s="16">
        <v>2095337</v>
      </c>
      <c r="AN177" s="16">
        <v>1806601</v>
      </c>
      <c r="AO177" s="16">
        <v>288736</v>
      </c>
    </row>
    <row r="178" spans="1:41" ht="13.5" customHeight="1" x14ac:dyDescent="0.2">
      <c r="A178" s="26">
        <v>45444</v>
      </c>
      <c r="B178" s="16">
        <v>49415565</v>
      </c>
      <c r="C178" s="16">
        <v>33951568</v>
      </c>
      <c r="D178" s="16">
        <v>15463997</v>
      </c>
      <c r="E178" s="16">
        <v>13445115</v>
      </c>
      <c r="F178" s="16">
        <v>2018882</v>
      </c>
      <c r="G178" s="16">
        <v>16906616</v>
      </c>
      <c r="H178" s="16">
        <v>11824819</v>
      </c>
      <c r="I178" s="16">
        <v>5081797</v>
      </c>
      <c r="J178" s="16">
        <v>4504087</v>
      </c>
      <c r="K178" s="16">
        <v>577710</v>
      </c>
      <c r="L178" s="16">
        <v>7309678</v>
      </c>
      <c r="M178" s="16">
        <v>4979776</v>
      </c>
      <c r="N178" s="16">
        <v>2329902</v>
      </c>
      <c r="O178" s="16">
        <v>1984733</v>
      </c>
      <c r="P178" s="16">
        <v>345169</v>
      </c>
      <c r="Q178" s="16">
        <v>7123867</v>
      </c>
      <c r="R178" s="16">
        <v>4719749</v>
      </c>
      <c r="S178" s="16">
        <v>2404118</v>
      </c>
      <c r="T178" s="16">
        <v>2057099</v>
      </c>
      <c r="U178" s="16">
        <v>347019</v>
      </c>
      <c r="V178" s="16">
        <v>1086684</v>
      </c>
      <c r="W178" s="16">
        <v>698393</v>
      </c>
      <c r="X178" s="16">
        <v>388291</v>
      </c>
      <c r="Y178" s="16">
        <v>316865</v>
      </c>
      <c r="Z178" s="16">
        <v>71426</v>
      </c>
      <c r="AA178" s="16">
        <v>8495521</v>
      </c>
      <c r="AB178" s="16">
        <v>5658501</v>
      </c>
      <c r="AC178" s="16">
        <v>2837020</v>
      </c>
      <c r="AD178" s="16">
        <v>2473075</v>
      </c>
      <c r="AE178" s="16">
        <v>363945</v>
      </c>
      <c r="AF178" s="16">
        <v>2961122</v>
      </c>
      <c r="AG178" s="16">
        <v>2074777</v>
      </c>
      <c r="AH178" s="16">
        <v>886345</v>
      </c>
      <c r="AI178" s="16">
        <v>775188</v>
      </c>
      <c r="AJ178" s="16">
        <v>111157</v>
      </c>
      <c r="AK178" s="16">
        <v>5532077</v>
      </c>
      <c r="AL178" s="16">
        <v>3995553</v>
      </c>
      <c r="AM178" s="16">
        <v>1536524</v>
      </c>
      <c r="AN178" s="16">
        <v>1334068</v>
      </c>
      <c r="AO178" s="16">
        <v>202456</v>
      </c>
    </row>
    <row r="179" spans="1:41" ht="13.5" customHeight="1" x14ac:dyDescent="0.2">
      <c r="A179" s="26">
        <v>45474</v>
      </c>
      <c r="B179" s="16">
        <v>54694279</v>
      </c>
      <c r="C179" s="16">
        <v>37672484</v>
      </c>
      <c r="D179" s="16">
        <v>17021795</v>
      </c>
      <c r="E179" s="16">
        <v>14499978</v>
      </c>
      <c r="F179" s="16">
        <v>2521817</v>
      </c>
      <c r="G179" s="16">
        <v>18351506</v>
      </c>
      <c r="H179" s="16">
        <v>13121493</v>
      </c>
      <c r="I179" s="16">
        <v>5230013</v>
      </c>
      <c r="J179" s="16">
        <v>4535635</v>
      </c>
      <c r="K179" s="16">
        <v>694378</v>
      </c>
      <c r="L179" s="16">
        <v>8195108</v>
      </c>
      <c r="M179" s="16">
        <v>5498208</v>
      </c>
      <c r="N179" s="16">
        <v>2696900</v>
      </c>
      <c r="O179" s="16">
        <v>2250900</v>
      </c>
      <c r="P179" s="16">
        <v>446000</v>
      </c>
      <c r="Q179" s="16">
        <v>8000026</v>
      </c>
      <c r="R179" s="16">
        <v>5245029</v>
      </c>
      <c r="S179" s="16">
        <v>2754997</v>
      </c>
      <c r="T179" s="16">
        <v>2321424</v>
      </c>
      <c r="U179" s="16">
        <v>433573</v>
      </c>
      <c r="V179" s="16">
        <v>1217615</v>
      </c>
      <c r="W179" s="16">
        <v>768837</v>
      </c>
      <c r="X179" s="16">
        <v>448778</v>
      </c>
      <c r="Y179" s="16">
        <v>358518</v>
      </c>
      <c r="Z179" s="16">
        <v>90260</v>
      </c>
      <c r="AA179" s="16">
        <v>9258100</v>
      </c>
      <c r="AB179" s="16">
        <v>6212396</v>
      </c>
      <c r="AC179" s="16">
        <v>3045704</v>
      </c>
      <c r="AD179" s="16">
        <v>2595079</v>
      </c>
      <c r="AE179" s="16">
        <v>450625</v>
      </c>
      <c r="AF179" s="16">
        <v>3367759</v>
      </c>
      <c r="AG179" s="16">
        <v>2358969</v>
      </c>
      <c r="AH179" s="16">
        <v>1008790</v>
      </c>
      <c r="AI179" s="16">
        <v>865136</v>
      </c>
      <c r="AJ179" s="16">
        <v>143654</v>
      </c>
      <c r="AK179" s="16">
        <v>6304165</v>
      </c>
      <c r="AL179" s="16">
        <v>4467552</v>
      </c>
      <c r="AM179" s="16">
        <v>1836613</v>
      </c>
      <c r="AN179" s="16">
        <v>1573286</v>
      </c>
      <c r="AO179" s="16">
        <v>263327</v>
      </c>
    </row>
    <row r="180" spans="1:41" ht="13.5" customHeight="1" x14ac:dyDescent="0.2">
      <c r="A180" s="26">
        <v>45505</v>
      </c>
      <c r="B180" s="16">
        <v>57383090</v>
      </c>
      <c r="C180" s="16">
        <v>37396131</v>
      </c>
      <c r="D180" s="16">
        <v>19986959</v>
      </c>
      <c r="E180" s="16">
        <v>17201472</v>
      </c>
      <c r="F180" s="16">
        <v>2785487</v>
      </c>
      <c r="G180" s="16">
        <v>19574450</v>
      </c>
      <c r="H180" s="16">
        <v>13074448</v>
      </c>
      <c r="I180" s="16">
        <v>6500002</v>
      </c>
      <c r="J180" s="16">
        <v>5711318</v>
      </c>
      <c r="K180" s="16">
        <v>788684</v>
      </c>
      <c r="L180" s="16">
        <v>8519314</v>
      </c>
      <c r="M180" s="16">
        <v>5467127</v>
      </c>
      <c r="N180" s="16">
        <v>3052187</v>
      </c>
      <c r="O180" s="16">
        <v>2558231</v>
      </c>
      <c r="P180" s="16">
        <v>493956</v>
      </c>
      <c r="Q180" s="16">
        <v>8250415</v>
      </c>
      <c r="R180" s="16">
        <v>5181921</v>
      </c>
      <c r="S180" s="16">
        <v>3068494</v>
      </c>
      <c r="T180" s="16">
        <v>2603791</v>
      </c>
      <c r="U180" s="16">
        <v>464703</v>
      </c>
      <c r="V180" s="16">
        <v>1257122</v>
      </c>
      <c r="W180" s="16">
        <v>758337</v>
      </c>
      <c r="X180" s="16">
        <v>498785</v>
      </c>
      <c r="Y180" s="16">
        <v>401403</v>
      </c>
      <c r="Z180" s="16">
        <v>97382</v>
      </c>
      <c r="AA180" s="16">
        <v>9723606</v>
      </c>
      <c r="AB180" s="16">
        <v>6129469</v>
      </c>
      <c r="AC180" s="16">
        <v>3594137</v>
      </c>
      <c r="AD180" s="16">
        <v>3100461</v>
      </c>
      <c r="AE180" s="16">
        <v>493676</v>
      </c>
      <c r="AF180" s="16">
        <v>3587620</v>
      </c>
      <c r="AG180" s="16">
        <v>2358018</v>
      </c>
      <c r="AH180" s="16">
        <v>1229602</v>
      </c>
      <c r="AI180" s="16">
        <v>1068887</v>
      </c>
      <c r="AJ180" s="16">
        <v>160715</v>
      </c>
      <c r="AK180" s="16">
        <v>6470563</v>
      </c>
      <c r="AL180" s="16">
        <v>4426811</v>
      </c>
      <c r="AM180" s="16">
        <v>2043752</v>
      </c>
      <c r="AN180" s="16">
        <v>1757381</v>
      </c>
      <c r="AO180" s="16">
        <v>286371</v>
      </c>
    </row>
    <row r="181" spans="1:41" ht="13.5" customHeight="1" x14ac:dyDescent="0.2">
      <c r="A181" s="26">
        <v>45536</v>
      </c>
      <c r="B181" s="16">
        <v>50884881</v>
      </c>
      <c r="C181" s="16">
        <v>32867268</v>
      </c>
      <c r="D181" s="16">
        <v>18017613</v>
      </c>
      <c r="E181" s="16">
        <v>15523381</v>
      </c>
      <c r="F181" s="16">
        <v>2494232</v>
      </c>
      <c r="G181" s="16">
        <v>17101088</v>
      </c>
      <c r="H181" s="16">
        <v>11319691</v>
      </c>
      <c r="I181" s="16">
        <v>5781397</v>
      </c>
      <c r="J181" s="16">
        <v>5079561</v>
      </c>
      <c r="K181" s="16">
        <v>701836</v>
      </c>
      <c r="L181" s="16">
        <v>7770433</v>
      </c>
      <c r="M181" s="16">
        <v>4953233</v>
      </c>
      <c r="N181" s="16">
        <v>2817200</v>
      </c>
      <c r="O181" s="16">
        <v>2364500</v>
      </c>
      <c r="P181" s="16">
        <v>452700</v>
      </c>
      <c r="Q181" s="16">
        <v>7338939</v>
      </c>
      <c r="R181" s="16">
        <v>4555890</v>
      </c>
      <c r="S181" s="16">
        <v>2783049</v>
      </c>
      <c r="T181" s="16">
        <v>2367973</v>
      </c>
      <c r="U181" s="16">
        <v>415076</v>
      </c>
      <c r="V181" s="16">
        <v>1132144</v>
      </c>
      <c r="W181" s="16">
        <v>678808</v>
      </c>
      <c r="X181" s="16">
        <v>453336</v>
      </c>
      <c r="Y181" s="16">
        <v>366422</v>
      </c>
      <c r="Z181" s="16">
        <v>86914</v>
      </c>
      <c r="AA181" s="16">
        <v>8589157</v>
      </c>
      <c r="AB181" s="16">
        <v>5370636</v>
      </c>
      <c r="AC181" s="16">
        <v>3218521</v>
      </c>
      <c r="AD181" s="16">
        <v>2781021</v>
      </c>
      <c r="AE181" s="16">
        <v>437500</v>
      </c>
      <c r="AF181" s="16">
        <v>3170803</v>
      </c>
      <c r="AG181" s="16">
        <v>2072269</v>
      </c>
      <c r="AH181" s="16">
        <v>1098534</v>
      </c>
      <c r="AI181" s="16">
        <v>955925</v>
      </c>
      <c r="AJ181" s="16">
        <v>142609</v>
      </c>
      <c r="AK181" s="16">
        <v>5782317</v>
      </c>
      <c r="AL181" s="16">
        <v>3916741</v>
      </c>
      <c r="AM181" s="16">
        <v>1865576</v>
      </c>
      <c r="AN181" s="16">
        <v>1607979</v>
      </c>
      <c r="AO181" s="16">
        <v>257597</v>
      </c>
    </row>
    <row r="182" spans="1:41" ht="13.5" customHeight="1" x14ac:dyDescent="0.2">
      <c r="A182" s="26">
        <v>45566</v>
      </c>
      <c r="B182" s="16">
        <v>60346352</v>
      </c>
      <c r="C182" s="16">
        <v>38468822</v>
      </c>
      <c r="D182" s="16">
        <v>21877530</v>
      </c>
      <c r="E182" s="16">
        <v>18885291</v>
      </c>
      <c r="F182" s="16">
        <v>2992239</v>
      </c>
      <c r="G182" s="16">
        <v>20523263</v>
      </c>
      <c r="H182" s="16">
        <v>13399289</v>
      </c>
      <c r="I182" s="16">
        <v>7123974</v>
      </c>
      <c r="J182" s="16">
        <v>6277764</v>
      </c>
      <c r="K182" s="16">
        <v>846210</v>
      </c>
      <c r="L182" s="16">
        <v>8981169</v>
      </c>
      <c r="M182" s="16">
        <v>5617333</v>
      </c>
      <c r="N182" s="16">
        <v>3363836</v>
      </c>
      <c r="O182" s="16">
        <v>2827134</v>
      </c>
      <c r="P182" s="16">
        <v>536702</v>
      </c>
      <c r="Q182" s="16">
        <v>8699198</v>
      </c>
      <c r="R182" s="16">
        <v>5357864</v>
      </c>
      <c r="S182" s="16">
        <v>3341334</v>
      </c>
      <c r="T182" s="16">
        <v>2843126</v>
      </c>
      <c r="U182" s="16">
        <v>498208</v>
      </c>
      <c r="V182" s="16">
        <v>1322653</v>
      </c>
      <c r="W182" s="16">
        <v>779513</v>
      </c>
      <c r="X182" s="16">
        <v>543140</v>
      </c>
      <c r="Y182" s="16">
        <v>438815</v>
      </c>
      <c r="Z182" s="16">
        <v>104325</v>
      </c>
      <c r="AA182" s="16">
        <v>10210132</v>
      </c>
      <c r="AB182" s="16">
        <v>6301590</v>
      </c>
      <c r="AC182" s="16">
        <v>3908542</v>
      </c>
      <c r="AD182" s="16">
        <v>3383975</v>
      </c>
      <c r="AE182" s="16">
        <v>524567</v>
      </c>
      <c r="AF182" s="16">
        <v>3778712</v>
      </c>
      <c r="AG182" s="16">
        <v>2445128</v>
      </c>
      <c r="AH182" s="16">
        <v>1333584</v>
      </c>
      <c r="AI182" s="16">
        <v>1160381</v>
      </c>
      <c r="AJ182" s="16">
        <v>173203</v>
      </c>
      <c r="AK182" s="16">
        <v>6831225</v>
      </c>
      <c r="AL182" s="16">
        <v>4568105</v>
      </c>
      <c r="AM182" s="16">
        <v>2263120</v>
      </c>
      <c r="AN182" s="16">
        <v>1954096</v>
      </c>
      <c r="AO182" s="16">
        <v>309024</v>
      </c>
    </row>
    <row r="183" spans="1:41" ht="13.5" customHeight="1" x14ac:dyDescent="0.2">
      <c r="A183" s="26">
        <v>45597</v>
      </c>
      <c r="B183" s="16">
        <v>56910396</v>
      </c>
      <c r="C183" s="16">
        <v>36439296</v>
      </c>
      <c r="D183" s="16">
        <v>20471100</v>
      </c>
      <c r="E183" s="16">
        <v>17589858</v>
      </c>
      <c r="F183" s="16">
        <v>2881242</v>
      </c>
      <c r="G183" s="16">
        <v>19381339</v>
      </c>
      <c r="H183" s="16">
        <v>12763656</v>
      </c>
      <c r="I183" s="16">
        <v>6617683</v>
      </c>
      <c r="J183" s="16">
        <v>5805469</v>
      </c>
      <c r="K183" s="16">
        <v>812214</v>
      </c>
      <c r="L183" s="16">
        <v>8564357</v>
      </c>
      <c r="M183" s="16">
        <v>5367641</v>
      </c>
      <c r="N183" s="16">
        <v>3196716</v>
      </c>
      <c r="O183" s="16">
        <v>2672959</v>
      </c>
      <c r="P183" s="16">
        <v>523757</v>
      </c>
      <c r="Q183" s="16">
        <v>8179344</v>
      </c>
      <c r="R183" s="16">
        <v>5031986</v>
      </c>
      <c r="S183" s="16">
        <v>3147358</v>
      </c>
      <c r="T183" s="16">
        <v>2669951</v>
      </c>
      <c r="U183" s="16">
        <v>477407</v>
      </c>
      <c r="V183" s="16">
        <v>1242976</v>
      </c>
      <c r="W183" s="16">
        <v>732770</v>
      </c>
      <c r="X183" s="16">
        <v>510206</v>
      </c>
      <c r="Y183" s="16">
        <v>409677</v>
      </c>
      <c r="Z183" s="16">
        <v>100529</v>
      </c>
      <c r="AA183" s="16">
        <v>9537968</v>
      </c>
      <c r="AB183" s="16">
        <v>5911612</v>
      </c>
      <c r="AC183" s="16">
        <v>3626356</v>
      </c>
      <c r="AD183" s="16">
        <v>3125913</v>
      </c>
      <c r="AE183" s="16">
        <v>500443</v>
      </c>
      <c r="AF183" s="16">
        <v>3556680</v>
      </c>
      <c r="AG183" s="16">
        <v>2317540</v>
      </c>
      <c r="AH183" s="16">
        <v>1239140</v>
      </c>
      <c r="AI183" s="16">
        <v>1072965</v>
      </c>
      <c r="AJ183" s="16">
        <v>166175</v>
      </c>
      <c r="AK183" s="16">
        <v>6447732</v>
      </c>
      <c r="AL183" s="16">
        <v>4314091</v>
      </c>
      <c r="AM183" s="16">
        <v>2133641</v>
      </c>
      <c r="AN183" s="16">
        <v>1832924</v>
      </c>
      <c r="AO183" s="16">
        <v>300717</v>
      </c>
    </row>
    <row r="184" spans="1:41" ht="13.5" customHeight="1" x14ac:dyDescent="0.2">
      <c r="A184" s="26">
        <v>45627</v>
      </c>
      <c r="B184" s="16">
        <v>53877741</v>
      </c>
      <c r="C184" s="16">
        <v>36189302</v>
      </c>
      <c r="D184" s="16">
        <v>17688439</v>
      </c>
      <c r="E184" s="16">
        <v>14921015</v>
      </c>
      <c r="F184" s="16">
        <v>2767424</v>
      </c>
      <c r="G184" s="16">
        <v>18191563</v>
      </c>
      <c r="H184" s="16">
        <v>12651663</v>
      </c>
      <c r="I184" s="16">
        <v>5539900</v>
      </c>
      <c r="J184" s="16">
        <v>4754218</v>
      </c>
      <c r="K184" s="16">
        <v>785682</v>
      </c>
      <c r="L184" s="16">
        <v>8134766</v>
      </c>
      <c r="M184" s="16">
        <v>5349488</v>
      </c>
      <c r="N184" s="16">
        <v>2785278</v>
      </c>
      <c r="O184" s="16">
        <v>2292274</v>
      </c>
      <c r="P184" s="16">
        <v>493004</v>
      </c>
      <c r="Q184" s="16">
        <v>7935592</v>
      </c>
      <c r="R184" s="16">
        <v>5030758</v>
      </c>
      <c r="S184" s="16">
        <v>2904834</v>
      </c>
      <c r="T184" s="16">
        <v>2435188</v>
      </c>
      <c r="U184" s="16">
        <v>469646</v>
      </c>
      <c r="V184" s="16">
        <v>1187442</v>
      </c>
      <c r="W184" s="16">
        <v>727225</v>
      </c>
      <c r="X184" s="16">
        <v>460217</v>
      </c>
      <c r="Y184" s="16">
        <v>364120</v>
      </c>
      <c r="Z184" s="16">
        <v>96097</v>
      </c>
      <c r="AA184" s="16">
        <v>8983451</v>
      </c>
      <c r="AB184" s="16">
        <v>5891512</v>
      </c>
      <c r="AC184" s="16">
        <v>3091939</v>
      </c>
      <c r="AD184" s="16">
        <v>2608858</v>
      </c>
      <c r="AE184" s="16">
        <v>483081</v>
      </c>
      <c r="AF184" s="16">
        <v>3271317</v>
      </c>
      <c r="AG184" s="16">
        <v>2245421</v>
      </c>
      <c r="AH184" s="16">
        <v>1025896</v>
      </c>
      <c r="AI184" s="16">
        <v>871311</v>
      </c>
      <c r="AJ184" s="16">
        <v>154585</v>
      </c>
      <c r="AK184" s="16">
        <v>6173610</v>
      </c>
      <c r="AL184" s="16">
        <v>4293235</v>
      </c>
      <c r="AM184" s="16">
        <v>1880375</v>
      </c>
      <c r="AN184" s="16">
        <v>1595046</v>
      </c>
      <c r="AO184" s="16">
        <v>285329</v>
      </c>
    </row>
    <row r="185" spans="1:41" ht="13.5" customHeight="1" x14ac:dyDescent="0.2">
      <c r="A185" s="20" t="s">
        <v>18</v>
      </c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spans="1:41" ht="13.5" customHeight="1" x14ac:dyDescent="0.2">
      <c r="A186" s="10" t="s">
        <v>19</v>
      </c>
      <c r="B186" s="38"/>
    </row>
    <row r="187" spans="1:41" ht="13.5" customHeight="1" x14ac:dyDescent="0.2">
      <c r="A187" s="9" t="s">
        <v>14</v>
      </c>
      <c r="B187" s="9"/>
      <c r="AF187" s="5"/>
      <c r="AG187" s="5"/>
      <c r="AH187" s="5"/>
      <c r="AI187" s="5"/>
      <c r="AJ187" s="5"/>
    </row>
    <row r="188" spans="1:41" ht="13.5" customHeight="1" x14ac:dyDescent="0.2">
      <c r="A188" s="10" t="s">
        <v>20</v>
      </c>
      <c r="B188" s="10"/>
      <c r="J188" s="8"/>
      <c r="AF188" s="5"/>
    </row>
  </sheetData>
  <mergeCells count="1">
    <mergeCell ref="A1:A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B7F-E59D-4979-9C04-AA648A005C9B}">
  <dimension ref="B2:I234"/>
  <sheetViews>
    <sheetView workbookViewId="0">
      <selection activeCell="D43" sqref="D43"/>
    </sheetView>
  </sheetViews>
  <sheetFormatPr baseColWidth="10" defaultRowHeight="12.75" x14ac:dyDescent="0.2"/>
  <cols>
    <col min="1" max="1" width="7.5703125" customWidth="1"/>
    <col min="7" max="7" width="15.85546875" customWidth="1"/>
  </cols>
  <sheetData>
    <row r="2" spans="2:9" ht="15" x14ac:dyDescent="0.25">
      <c r="B2" s="43" t="s">
        <v>26</v>
      </c>
    </row>
    <row r="4" spans="2:9" ht="45" x14ac:dyDescent="0.2">
      <c r="B4" s="44" t="s">
        <v>27</v>
      </c>
      <c r="C4" s="44" t="s">
        <v>28</v>
      </c>
      <c r="D4" s="44" t="s">
        <v>29</v>
      </c>
      <c r="E4" s="44" t="s">
        <v>30</v>
      </c>
      <c r="F4" s="44" t="s">
        <v>31</v>
      </c>
      <c r="G4" s="44" t="s">
        <v>32</v>
      </c>
      <c r="H4" s="44" t="s">
        <v>33</v>
      </c>
      <c r="I4" s="44" t="s">
        <v>34</v>
      </c>
    </row>
    <row r="5" spans="2:9" x14ac:dyDescent="0.2">
      <c r="B5" s="45">
        <v>39114</v>
      </c>
      <c r="C5" s="42">
        <v>380</v>
      </c>
      <c r="D5" s="42">
        <v>440</v>
      </c>
      <c r="E5" s="42">
        <v>380</v>
      </c>
      <c r="F5" s="42">
        <v>360</v>
      </c>
      <c r="G5" s="42">
        <v>130</v>
      </c>
      <c r="H5" s="42">
        <v>0</v>
      </c>
      <c r="I5" s="42"/>
    </row>
    <row r="6" spans="2:9" x14ac:dyDescent="0.2">
      <c r="B6" s="45">
        <v>39142</v>
      </c>
      <c r="C6" s="42">
        <v>380</v>
      </c>
      <c r="D6" s="42">
        <v>440</v>
      </c>
      <c r="E6" s="42">
        <v>380</v>
      </c>
      <c r="F6" s="42">
        <v>360</v>
      </c>
      <c r="G6" s="42">
        <v>130</v>
      </c>
      <c r="H6" s="42">
        <v>0</v>
      </c>
      <c r="I6" s="42"/>
    </row>
    <row r="7" spans="2:9" x14ac:dyDescent="0.2">
      <c r="B7" s="45">
        <v>39173</v>
      </c>
      <c r="C7" s="42">
        <v>380</v>
      </c>
      <c r="D7" s="42">
        <v>440</v>
      </c>
      <c r="E7" s="42">
        <v>380</v>
      </c>
      <c r="F7" s="42">
        <v>360</v>
      </c>
      <c r="G7" s="42">
        <v>130</v>
      </c>
      <c r="H7" s="42">
        <v>0</v>
      </c>
      <c r="I7" s="42"/>
    </row>
    <row r="8" spans="2:9" x14ac:dyDescent="0.2">
      <c r="B8" s="45">
        <v>39203</v>
      </c>
      <c r="C8" s="42">
        <v>380</v>
      </c>
      <c r="D8" s="42">
        <v>440</v>
      </c>
      <c r="E8" s="42">
        <v>380</v>
      </c>
      <c r="F8" s="42">
        <v>360</v>
      </c>
      <c r="G8" s="42">
        <v>130</v>
      </c>
      <c r="H8" s="42">
        <v>0</v>
      </c>
      <c r="I8" s="42"/>
    </row>
    <row r="9" spans="2:9" x14ac:dyDescent="0.2">
      <c r="B9" s="45">
        <v>39234</v>
      </c>
      <c r="C9" s="42">
        <v>380</v>
      </c>
      <c r="D9" s="42">
        <v>440</v>
      </c>
      <c r="E9" s="42">
        <v>380</v>
      </c>
      <c r="F9" s="42">
        <v>360</v>
      </c>
      <c r="G9" s="42">
        <v>130</v>
      </c>
      <c r="H9" s="42">
        <v>0</v>
      </c>
      <c r="I9" s="42"/>
    </row>
    <row r="10" spans="2:9" x14ac:dyDescent="0.2">
      <c r="B10" s="45">
        <v>39264</v>
      </c>
      <c r="C10" s="42">
        <v>380</v>
      </c>
      <c r="D10" s="42">
        <v>440</v>
      </c>
      <c r="E10" s="42">
        <v>380</v>
      </c>
      <c r="F10" s="42">
        <v>360</v>
      </c>
      <c r="G10" s="42">
        <v>130</v>
      </c>
      <c r="H10" s="42">
        <v>0</v>
      </c>
      <c r="I10" s="42"/>
    </row>
    <row r="11" spans="2:9" x14ac:dyDescent="0.2">
      <c r="B11" s="45">
        <v>39295</v>
      </c>
      <c r="C11" s="42">
        <v>380</v>
      </c>
      <c r="D11" s="42">
        <v>440</v>
      </c>
      <c r="E11" s="42">
        <v>380</v>
      </c>
      <c r="F11" s="42">
        <v>360</v>
      </c>
      <c r="G11" s="42">
        <v>130</v>
      </c>
      <c r="H11" s="42">
        <v>0</v>
      </c>
      <c r="I11" s="42"/>
    </row>
    <row r="12" spans="2:9" x14ac:dyDescent="0.2">
      <c r="B12" s="45">
        <v>39326</v>
      </c>
      <c r="C12" s="42">
        <v>380</v>
      </c>
      <c r="D12" s="42">
        <v>440</v>
      </c>
      <c r="E12" s="42">
        <v>380</v>
      </c>
      <c r="F12" s="42">
        <v>360</v>
      </c>
      <c r="G12" s="42">
        <v>130</v>
      </c>
      <c r="H12" s="42">
        <v>0</v>
      </c>
      <c r="I12" s="42"/>
    </row>
    <row r="13" spans="2:9" x14ac:dyDescent="0.2">
      <c r="B13" s="45">
        <v>39356</v>
      </c>
      <c r="C13" s="42">
        <v>380</v>
      </c>
      <c r="D13" s="42">
        <v>440</v>
      </c>
      <c r="E13" s="42">
        <v>380</v>
      </c>
      <c r="F13" s="42">
        <v>360</v>
      </c>
      <c r="G13" s="42">
        <v>130</v>
      </c>
      <c r="H13" s="42">
        <v>0</v>
      </c>
      <c r="I13" s="42"/>
    </row>
    <row r="14" spans="2:9" x14ac:dyDescent="0.2">
      <c r="B14" s="45">
        <v>39387</v>
      </c>
      <c r="C14" s="42">
        <v>380</v>
      </c>
      <c r="D14" s="42">
        <v>440</v>
      </c>
      <c r="E14" s="42">
        <v>380</v>
      </c>
      <c r="F14" s="42">
        <v>360</v>
      </c>
      <c r="G14" s="42">
        <v>130</v>
      </c>
      <c r="H14" s="42">
        <v>0</v>
      </c>
      <c r="I14" s="42"/>
    </row>
    <row r="15" spans="2:9" x14ac:dyDescent="0.2">
      <c r="B15" s="45">
        <v>39417</v>
      </c>
      <c r="C15" s="42">
        <v>380</v>
      </c>
      <c r="D15" s="42">
        <v>440</v>
      </c>
      <c r="E15" s="42">
        <v>380</v>
      </c>
      <c r="F15" s="42">
        <v>360</v>
      </c>
      <c r="G15" s="42">
        <v>130</v>
      </c>
      <c r="H15" s="42">
        <v>0</v>
      </c>
      <c r="I15" s="42"/>
    </row>
    <row r="16" spans="2:9" x14ac:dyDescent="0.2">
      <c r="B16" s="45">
        <v>39448</v>
      </c>
      <c r="C16" s="42">
        <v>380</v>
      </c>
      <c r="D16" s="42">
        <v>440</v>
      </c>
      <c r="E16" s="42">
        <v>380</v>
      </c>
      <c r="F16" s="42">
        <v>360</v>
      </c>
      <c r="G16" s="42">
        <v>130</v>
      </c>
      <c r="H16" s="42">
        <v>0</v>
      </c>
      <c r="I16" s="42"/>
    </row>
    <row r="17" spans="2:9" x14ac:dyDescent="0.2">
      <c r="B17" s="45">
        <v>39479</v>
      </c>
      <c r="C17" s="42">
        <v>380</v>
      </c>
      <c r="D17" s="42">
        <v>440</v>
      </c>
      <c r="E17" s="42">
        <v>380</v>
      </c>
      <c r="F17" s="42">
        <v>360</v>
      </c>
      <c r="G17" s="42">
        <v>130</v>
      </c>
      <c r="H17" s="42">
        <v>0</v>
      </c>
      <c r="I17" s="42"/>
    </row>
    <row r="18" spans="2:9" x14ac:dyDescent="0.2">
      <c r="B18" s="45">
        <v>39508</v>
      </c>
      <c r="C18" s="42">
        <v>380</v>
      </c>
      <c r="D18" s="42">
        <v>440</v>
      </c>
      <c r="E18" s="42">
        <v>380</v>
      </c>
      <c r="F18" s="42">
        <v>360</v>
      </c>
      <c r="G18" s="42">
        <v>130</v>
      </c>
      <c r="H18" s="42">
        <v>0</v>
      </c>
      <c r="I18" s="42"/>
    </row>
    <row r="19" spans="2:9" x14ac:dyDescent="0.2">
      <c r="B19" s="45">
        <v>39539</v>
      </c>
      <c r="C19" s="42">
        <v>380</v>
      </c>
      <c r="D19" s="42">
        <v>440</v>
      </c>
      <c r="E19" s="42">
        <v>380</v>
      </c>
      <c r="F19" s="42">
        <v>360</v>
      </c>
      <c r="G19" s="42">
        <v>130</v>
      </c>
      <c r="H19" s="42">
        <v>0</v>
      </c>
      <c r="I19" s="42"/>
    </row>
    <row r="20" spans="2:9" x14ac:dyDescent="0.2">
      <c r="B20" s="45">
        <v>39569</v>
      </c>
      <c r="C20" s="42">
        <v>380</v>
      </c>
      <c r="D20" s="42">
        <v>440</v>
      </c>
      <c r="E20" s="42">
        <v>380</v>
      </c>
      <c r="F20" s="42">
        <v>360</v>
      </c>
      <c r="G20" s="42">
        <v>130</v>
      </c>
      <c r="H20" s="42">
        <v>0</v>
      </c>
      <c r="I20" s="42"/>
    </row>
    <row r="21" spans="2:9" x14ac:dyDescent="0.2">
      <c r="B21" s="45">
        <v>39600</v>
      </c>
      <c r="C21" s="42">
        <v>380</v>
      </c>
      <c r="D21" s="42">
        <v>440</v>
      </c>
      <c r="E21" s="42">
        <v>380</v>
      </c>
      <c r="F21" s="42">
        <v>360</v>
      </c>
      <c r="G21" s="42">
        <v>130</v>
      </c>
      <c r="H21" s="42">
        <v>0</v>
      </c>
      <c r="I21" s="42"/>
    </row>
    <row r="22" spans="2:9" x14ac:dyDescent="0.2">
      <c r="B22" s="45">
        <v>39630</v>
      </c>
      <c r="C22" s="42">
        <v>380</v>
      </c>
      <c r="D22" s="42">
        <v>440</v>
      </c>
      <c r="E22" s="42">
        <v>380</v>
      </c>
      <c r="F22" s="42">
        <v>360</v>
      </c>
      <c r="G22" s="42">
        <v>130</v>
      </c>
      <c r="H22" s="42">
        <v>0</v>
      </c>
      <c r="I22" s="42"/>
    </row>
    <row r="23" spans="2:9" x14ac:dyDescent="0.2">
      <c r="B23" s="45">
        <v>39661</v>
      </c>
      <c r="C23" s="42">
        <v>380</v>
      </c>
      <c r="D23" s="42">
        <v>440</v>
      </c>
      <c r="E23" s="42">
        <v>380</v>
      </c>
      <c r="F23" s="42">
        <v>360</v>
      </c>
      <c r="G23" s="42">
        <v>130</v>
      </c>
      <c r="H23" s="42">
        <v>0</v>
      </c>
      <c r="I23" s="42"/>
    </row>
    <row r="24" spans="2:9" x14ac:dyDescent="0.2">
      <c r="B24" s="45">
        <v>39692</v>
      </c>
      <c r="C24" s="42">
        <v>380</v>
      </c>
      <c r="D24" s="42">
        <v>440</v>
      </c>
      <c r="E24" s="42">
        <v>380</v>
      </c>
      <c r="F24" s="42">
        <v>360</v>
      </c>
      <c r="G24" s="42">
        <v>130</v>
      </c>
      <c r="H24" s="42">
        <v>0</v>
      </c>
      <c r="I24" s="42"/>
    </row>
    <row r="25" spans="2:9" x14ac:dyDescent="0.2">
      <c r="B25" s="45">
        <v>39722</v>
      </c>
      <c r="C25" s="42">
        <v>380</v>
      </c>
      <c r="D25" s="42">
        <v>440</v>
      </c>
      <c r="E25" s="42">
        <v>380</v>
      </c>
      <c r="F25" s="42">
        <v>360</v>
      </c>
      <c r="G25" s="42">
        <v>130</v>
      </c>
      <c r="H25" s="42">
        <v>0</v>
      </c>
      <c r="I25" s="42"/>
    </row>
    <row r="26" spans="2:9" x14ac:dyDescent="0.2">
      <c r="B26" s="45">
        <v>39753</v>
      </c>
      <c r="C26" s="42">
        <v>380</v>
      </c>
      <c r="D26" s="42">
        <v>440</v>
      </c>
      <c r="E26" s="42">
        <v>380</v>
      </c>
      <c r="F26" s="42">
        <v>360</v>
      </c>
      <c r="G26" s="42">
        <v>130</v>
      </c>
      <c r="H26" s="42">
        <v>0</v>
      </c>
      <c r="I26" s="42"/>
    </row>
    <row r="27" spans="2:9" x14ac:dyDescent="0.2">
      <c r="B27" s="45">
        <v>39783</v>
      </c>
      <c r="C27" s="42">
        <v>380</v>
      </c>
      <c r="D27" s="42">
        <v>440</v>
      </c>
      <c r="E27" s="42">
        <v>380</v>
      </c>
      <c r="F27" s="42">
        <v>360</v>
      </c>
      <c r="G27" s="42">
        <v>130</v>
      </c>
      <c r="H27" s="42">
        <v>0</v>
      </c>
      <c r="I27" s="42"/>
    </row>
    <row r="28" spans="2:9" x14ac:dyDescent="0.2">
      <c r="B28" s="45">
        <v>39814</v>
      </c>
      <c r="C28" s="42">
        <v>380</v>
      </c>
      <c r="D28" s="42">
        <v>440</v>
      </c>
      <c r="E28" s="42">
        <v>380</v>
      </c>
      <c r="F28" s="42">
        <v>360</v>
      </c>
      <c r="G28" s="42">
        <v>130</v>
      </c>
      <c r="H28" s="42">
        <v>0</v>
      </c>
      <c r="I28" s="42"/>
    </row>
    <row r="29" spans="2:9" x14ac:dyDescent="0.2">
      <c r="B29" s="45">
        <v>39845</v>
      </c>
      <c r="C29" s="42">
        <v>400</v>
      </c>
      <c r="D29" s="42">
        <v>460</v>
      </c>
      <c r="E29" s="42">
        <v>400</v>
      </c>
      <c r="F29" s="42">
        <v>380</v>
      </c>
      <c r="G29" s="42">
        <v>130</v>
      </c>
      <c r="H29" s="42">
        <v>0</v>
      </c>
      <c r="I29" s="42"/>
    </row>
    <row r="30" spans="2:9" x14ac:dyDescent="0.2">
      <c r="B30" s="45">
        <v>39873</v>
      </c>
      <c r="C30" s="42">
        <v>400</v>
      </c>
      <c r="D30" s="42">
        <v>460</v>
      </c>
      <c r="E30" s="42">
        <v>400</v>
      </c>
      <c r="F30" s="42">
        <v>380</v>
      </c>
      <c r="G30" s="42">
        <v>130</v>
      </c>
      <c r="H30" s="42">
        <v>0</v>
      </c>
      <c r="I30" s="42"/>
    </row>
    <row r="31" spans="2:9" x14ac:dyDescent="0.2">
      <c r="B31" s="45">
        <v>39904</v>
      </c>
      <c r="C31" s="42">
        <v>400</v>
      </c>
      <c r="D31" s="42">
        <v>460</v>
      </c>
      <c r="E31" s="42">
        <v>400</v>
      </c>
      <c r="F31" s="42">
        <v>380</v>
      </c>
      <c r="G31" s="42">
        <v>130</v>
      </c>
      <c r="H31" s="42">
        <v>0</v>
      </c>
      <c r="I31" s="42"/>
    </row>
    <row r="32" spans="2:9" x14ac:dyDescent="0.2">
      <c r="B32" s="45">
        <v>39934</v>
      </c>
      <c r="C32" s="42">
        <v>400</v>
      </c>
      <c r="D32" s="42">
        <v>460</v>
      </c>
      <c r="E32" s="42">
        <v>400</v>
      </c>
      <c r="F32" s="42">
        <v>380</v>
      </c>
      <c r="G32" s="42">
        <v>130</v>
      </c>
      <c r="H32" s="42">
        <v>0</v>
      </c>
      <c r="I32" s="42"/>
    </row>
    <row r="33" spans="2:9" x14ac:dyDescent="0.2">
      <c r="B33" s="45">
        <v>39965</v>
      </c>
      <c r="C33" s="42">
        <v>400</v>
      </c>
      <c r="D33" s="42">
        <v>460</v>
      </c>
      <c r="E33" s="42">
        <v>400</v>
      </c>
      <c r="F33" s="42">
        <v>380</v>
      </c>
      <c r="G33" s="42">
        <v>130</v>
      </c>
      <c r="H33" s="42">
        <v>0</v>
      </c>
      <c r="I33" s="42"/>
    </row>
    <row r="34" spans="2:9" x14ac:dyDescent="0.2">
      <c r="B34" s="45">
        <v>39995</v>
      </c>
      <c r="C34" s="42">
        <v>400</v>
      </c>
      <c r="D34" s="42">
        <v>460</v>
      </c>
      <c r="E34" s="42">
        <v>400</v>
      </c>
      <c r="F34" s="42">
        <v>380</v>
      </c>
      <c r="G34" s="42">
        <v>130</v>
      </c>
      <c r="H34" s="42">
        <v>0</v>
      </c>
      <c r="I34" s="42"/>
    </row>
    <row r="35" spans="2:9" x14ac:dyDescent="0.2">
      <c r="B35" s="45">
        <v>40026</v>
      </c>
      <c r="C35" s="42">
        <v>400</v>
      </c>
      <c r="D35" s="42">
        <v>460</v>
      </c>
      <c r="E35" s="42">
        <v>400</v>
      </c>
      <c r="F35" s="42">
        <v>380</v>
      </c>
      <c r="G35" s="42">
        <v>130</v>
      </c>
      <c r="H35" s="42">
        <v>0</v>
      </c>
      <c r="I35" s="42"/>
    </row>
    <row r="36" spans="2:9" x14ac:dyDescent="0.2">
      <c r="B36" s="45">
        <v>40057</v>
      </c>
      <c r="C36" s="42">
        <v>400</v>
      </c>
      <c r="D36" s="42">
        <v>460</v>
      </c>
      <c r="E36" s="42">
        <v>400</v>
      </c>
      <c r="F36" s="42">
        <v>380</v>
      </c>
      <c r="G36" s="42">
        <v>130</v>
      </c>
      <c r="H36" s="42">
        <v>0</v>
      </c>
      <c r="I36" s="42"/>
    </row>
    <row r="37" spans="2:9" x14ac:dyDescent="0.2">
      <c r="B37" s="45">
        <v>40087</v>
      </c>
      <c r="C37" s="42">
        <v>400</v>
      </c>
      <c r="D37" s="42">
        <v>460</v>
      </c>
      <c r="E37" s="42">
        <v>400</v>
      </c>
      <c r="F37" s="42">
        <v>380</v>
      </c>
      <c r="G37" s="42">
        <v>130</v>
      </c>
      <c r="H37" s="42">
        <v>0</v>
      </c>
      <c r="I37" s="42"/>
    </row>
    <row r="38" spans="2:9" x14ac:dyDescent="0.2">
      <c r="B38" s="45">
        <v>40118</v>
      </c>
      <c r="C38" s="42">
        <v>400</v>
      </c>
      <c r="D38" s="42">
        <v>460</v>
      </c>
      <c r="E38" s="42">
        <v>400</v>
      </c>
      <c r="F38" s="42">
        <v>380</v>
      </c>
      <c r="G38" s="42">
        <v>130</v>
      </c>
      <c r="H38" s="42">
        <v>0</v>
      </c>
      <c r="I38" s="42"/>
    </row>
    <row r="39" spans="2:9" x14ac:dyDescent="0.2">
      <c r="B39" s="45">
        <v>40148</v>
      </c>
      <c r="C39" s="42">
        <v>400</v>
      </c>
      <c r="D39" s="42">
        <v>460</v>
      </c>
      <c r="E39" s="42">
        <v>400</v>
      </c>
      <c r="F39" s="42">
        <v>380</v>
      </c>
      <c r="G39" s="42">
        <v>130</v>
      </c>
      <c r="H39" s="42">
        <v>0</v>
      </c>
      <c r="I39" s="42"/>
    </row>
    <row r="40" spans="2:9" x14ac:dyDescent="0.2">
      <c r="B40" s="45">
        <v>40179</v>
      </c>
      <c r="C40" s="42">
        <v>400</v>
      </c>
      <c r="D40" s="42">
        <v>460</v>
      </c>
      <c r="E40" s="42">
        <v>400</v>
      </c>
      <c r="F40" s="42">
        <v>380</v>
      </c>
      <c r="G40" s="42">
        <v>130</v>
      </c>
      <c r="H40" s="42">
        <v>0</v>
      </c>
      <c r="I40" s="42"/>
    </row>
    <row r="41" spans="2:9" x14ac:dyDescent="0.2">
      <c r="B41" s="45">
        <v>40210</v>
      </c>
      <c r="C41" s="42">
        <v>400</v>
      </c>
      <c r="D41" s="42">
        <v>460</v>
      </c>
      <c r="E41" s="42">
        <v>400</v>
      </c>
      <c r="F41" s="42">
        <v>380</v>
      </c>
      <c r="G41" s="42">
        <v>130</v>
      </c>
      <c r="H41" s="42">
        <v>0</v>
      </c>
      <c r="I41" s="42"/>
    </row>
    <row r="42" spans="2:9" x14ac:dyDescent="0.2">
      <c r="B42" s="45">
        <v>40238</v>
      </c>
      <c r="C42" s="42">
        <v>410</v>
      </c>
      <c r="D42" s="42">
        <v>470</v>
      </c>
      <c r="E42" s="42">
        <v>410</v>
      </c>
      <c r="F42" s="42">
        <v>390</v>
      </c>
      <c r="G42" s="42">
        <v>130</v>
      </c>
      <c r="H42" s="42">
        <v>0</v>
      </c>
      <c r="I42" s="42"/>
    </row>
    <row r="43" spans="2:9" x14ac:dyDescent="0.2">
      <c r="B43" s="45">
        <v>40269</v>
      </c>
      <c r="C43" s="42">
        <v>430</v>
      </c>
      <c r="D43" s="42">
        <v>490</v>
      </c>
      <c r="E43" s="42">
        <v>430</v>
      </c>
      <c r="F43" s="42">
        <v>410</v>
      </c>
      <c r="G43" s="42">
        <v>140</v>
      </c>
      <c r="H43" s="42">
        <v>0</v>
      </c>
      <c r="I43" s="42"/>
    </row>
    <row r="44" spans="2:9" x14ac:dyDescent="0.2">
      <c r="B44" s="45">
        <v>40299</v>
      </c>
      <c r="C44" s="42">
        <v>450</v>
      </c>
      <c r="D44" s="42">
        <v>510</v>
      </c>
      <c r="E44" s="42">
        <v>450</v>
      </c>
      <c r="F44" s="42">
        <v>430</v>
      </c>
      <c r="G44" s="42">
        <v>150</v>
      </c>
      <c r="H44" s="42">
        <v>0</v>
      </c>
      <c r="I44" s="42"/>
    </row>
    <row r="45" spans="2:9" x14ac:dyDescent="0.2">
      <c r="B45" s="45">
        <v>40330</v>
      </c>
      <c r="C45" s="42">
        <v>480</v>
      </c>
      <c r="D45" s="42">
        <v>560</v>
      </c>
      <c r="E45" s="42">
        <v>500</v>
      </c>
      <c r="F45" s="42">
        <v>460</v>
      </c>
      <c r="G45" s="42">
        <v>160</v>
      </c>
      <c r="H45" s="42">
        <v>0</v>
      </c>
      <c r="I45" s="42"/>
    </row>
    <row r="46" spans="2:9" x14ac:dyDescent="0.2">
      <c r="B46" s="45">
        <v>40360</v>
      </c>
      <c r="C46" s="42">
        <v>500</v>
      </c>
      <c r="D46" s="42">
        <v>580</v>
      </c>
      <c r="E46" s="42">
        <v>520</v>
      </c>
      <c r="F46" s="42">
        <v>480</v>
      </c>
      <c r="G46" s="42">
        <v>160</v>
      </c>
      <c r="H46" s="42">
        <v>0</v>
      </c>
      <c r="I46" s="42"/>
    </row>
    <row r="47" spans="2:9" x14ac:dyDescent="0.2">
      <c r="B47" s="45">
        <v>40391</v>
      </c>
      <c r="C47" s="42">
        <v>500</v>
      </c>
      <c r="D47" s="42">
        <v>580</v>
      </c>
      <c r="E47" s="42">
        <v>520</v>
      </c>
      <c r="F47" s="42">
        <v>480</v>
      </c>
      <c r="G47" s="42">
        <v>160</v>
      </c>
      <c r="H47" s="42">
        <v>0</v>
      </c>
      <c r="I47" s="42"/>
    </row>
    <row r="48" spans="2:9" x14ac:dyDescent="0.2">
      <c r="B48" s="45">
        <v>40422</v>
      </c>
      <c r="C48" s="42">
        <v>500</v>
      </c>
      <c r="D48" s="42">
        <v>580</v>
      </c>
      <c r="E48" s="42">
        <v>520</v>
      </c>
      <c r="F48" s="42">
        <v>480</v>
      </c>
      <c r="G48" s="42">
        <v>160</v>
      </c>
      <c r="H48" s="42">
        <v>0</v>
      </c>
      <c r="I48" s="42"/>
    </row>
    <row r="49" spans="2:9" x14ac:dyDescent="0.2">
      <c r="B49" s="45">
        <v>40452</v>
      </c>
      <c r="C49" s="42">
        <v>500</v>
      </c>
      <c r="D49" s="42">
        <v>580</v>
      </c>
      <c r="E49" s="42">
        <v>520</v>
      </c>
      <c r="F49" s="42">
        <v>480</v>
      </c>
      <c r="G49" s="42">
        <v>160</v>
      </c>
      <c r="H49" s="42">
        <v>0</v>
      </c>
      <c r="I49" s="42"/>
    </row>
    <row r="50" spans="2:9" x14ac:dyDescent="0.2">
      <c r="B50" s="45">
        <v>40483</v>
      </c>
      <c r="C50" s="42">
        <v>500</v>
      </c>
      <c r="D50" s="42">
        <v>580</v>
      </c>
      <c r="E50" s="42">
        <v>520</v>
      </c>
      <c r="F50" s="42">
        <v>480</v>
      </c>
      <c r="G50" s="42">
        <v>160</v>
      </c>
      <c r="H50" s="42">
        <v>0</v>
      </c>
      <c r="I50" s="42"/>
    </row>
    <row r="51" spans="2:9" x14ac:dyDescent="0.2">
      <c r="B51" s="45">
        <v>40513</v>
      </c>
      <c r="C51" s="42">
        <v>500</v>
      </c>
      <c r="D51" s="42">
        <v>580</v>
      </c>
      <c r="E51" s="42">
        <v>520</v>
      </c>
      <c r="F51" s="42">
        <v>480</v>
      </c>
      <c r="G51" s="42">
        <v>160</v>
      </c>
      <c r="H51" s="42">
        <v>0</v>
      </c>
      <c r="I51" s="42"/>
    </row>
    <row r="52" spans="2:9" x14ac:dyDescent="0.2">
      <c r="B52" s="45">
        <v>40544</v>
      </c>
      <c r="C52" s="42">
        <v>520</v>
      </c>
      <c r="D52" s="42">
        <v>600</v>
      </c>
      <c r="E52" s="42">
        <v>540</v>
      </c>
      <c r="F52" s="42">
        <v>490</v>
      </c>
      <c r="G52" s="42">
        <v>170</v>
      </c>
      <c r="H52" s="42">
        <v>0</v>
      </c>
      <c r="I52" s="42"/>
    </row>
    <row r="53" spans="2:9" x14ac:dyDescent="0.2">
      <c r="B53" s="45">
        <v>40575</v>
      </c>
      <c r="C53" s="42">
        <v>540</v>
      </c>
      <c r="D53" s="42">
        <v>620</v>
      </c>
      <c r="E53" s="42">
        <v>560</v>
      </c>
      <c r="F53" s="42">
        <v>510</v>
      </c>
      <c r="G53" s="42">
        <v>180</v>
      </c>
      <c r="H53" s="42">
        <v>0</v>
      </c>
      <c r="I53" s="42"/>
    </row>
    <row r="54" spans="2:9" x14ac:dyDescent="0.2">
      <c r="B54" s="45">
        <v>40603</v>
      </c>
      <c r="C54" s="42">
        <v>540</v>
      </c>
      <c r="D54" s="42">
        <v>620</v>
      </c>
      <c r="E54" s="42">
        <v>560</v>
      </c>
      <c r="F54" s="42">
        <v>510</v>
      </c>
      <c r="G54" s="42">
        <v>180</v>
      </c>
      <c r="H54" s="42">
        <v>0</v>
      </c>
      <c r="I54" s="42"/>
    </row>
    <row r="55" spans="2:9" x14ac:dyDescent="0.2">
      <c r="B55" s="45">
        <v>40634</v>
      </c>
      <c r="C55" s="42">
        <v>540</v>
      </c>
      <c r="D55" s="42">
        <v>620</v>
      </c>
      <c r="E55" s="42">
        <v>560</v>
      </c>
      <c r="F55" s="42">
        <v>510</v>
      </c>
      <c r="G55" s="42">
        <v>180</v>
      </c>
      <c r="H55" s="42">
        <v>0</v>
      </c>
      <c r="I55" s="42"/>
    </row>
    <row r="56" spans="2:9" x14ac:dyDescent="0.2">
      <c r="B56" s="45">
        <v>40664</v>
      </c>
      <c r="C56" s="42">
        <v>540</v>
      </c>
      <c r="D56" s="42">
        <v>620</v>
      </c>
      <c r="E56" s="42">
        <v>560</v>
      </c>
      <c r="F56" s="42">
        <v>510</v>
      </c>
      <c r="G56" s="42">
        <v>180</v>
      </c>
      <c r="H56" s="42">
        <v>0</v>
      </c>
      <c r="I56" s="42"/>
    </row>
    <row r="57" spans="2:9" x14ac:dyDescent="0.2">
      <c r="B57" s="45">
        <v>40695</v>
      </c>
      <c r="C57" s="42">
        <v>540</v>
      </c>
      <c r="D57" s="42">
        <v>620</v>
      </c>
      <c r="E57" s="42">
        <v>560</v>
      </c>
      <c r="F57" s="42">
        <v>510</v>
      </c>
      <c r="G57" s="42">
        <v>180</v>
      </c>
      <c r="H57" s="42">
        <v>0</v>
      </c>
      <c r="I57" s="42"/>
    </row>
    <row r="58" spans="2:9" x14ac:dyDescent="0.2">
      <c r="B58" s="45">
        <v>40725</v>
      </c>
      <c r="C58" s="42">
        <v>550</v>
      </c>
      <c r="D58" s="42">
        <v>630</v>
      </c>
      <c r="E58" s="42">
        <v>570</v>
      </c>
      <c r="F58" s="42">
        <v>520</v>
      </c>
      <c r="G58" s="42">
        <v>180</v>
      </c>
      <c r="H58" s="42">
        <v>0</v>
      </c>
      <c r="I58" s="42"/>
    </row>
    <row r="59" spans="2:9" x14ac:dyDescent="0.2">
      <c r="B59" s="45">
        <v>40756</v>
      </c>
      <c r="C59" s="42">
        <v>550</v>
      </c>
      <c r="D59" s="42">
        <v>630</v>
      </c>
      <c r="E59" s="42">
        <v>570</v>
      </c>
      <c r="F59" s="42">
        <v>520</v>
      </c>
      <c r="G59" s="42">
        <v>180</v>
      </c>
      <c r="H59" s="42">
        <v>0</v>
      </c>
      <c r="I59" s="42"/>
    </row>
    <row r="60" spans="2:9" x14ac:dyDescent="0.2">
      <c r="B60" s="45">
        <v>40787</v>
      </c>
      <c r="C60" s="42">
        <v>550</v>
      </c>
      <c r="D60" s="42">
        <v>630</v>
      </c>
      <c r="E60" s="42">
        <v>570</v>
      </c>
      <c r="F60" s="42">
        <v>520</v>
      </c>
      <c r="G60" s="42">
        <v>180</v>
      </c>
      <c r="H60" s="42">
        <v>0</v>
      </c>
      <c r="I60" s="42"/>
    </row>
    <row r="61" spans="2:9" x14ac:dyDescent="0.2">
      <c r="B61" s="45">
        <v>40817</v>
      </c>
      <c r="C61" s="42">
        <v>550</v>
      </c>
      <c r="D61" s="42">
        <v>630</v>
      </c>
      <c r="E61" s="42">
        <v>570</v>
      </c>
      <c r="F61" s="42">
        <v>520</v>
      </c>
      <c r="G61" s="42">
        <v>180</v>
      </c>
      <c r="H61" s="42">
        <v>0</v>
      </c>
      <c r="I61" s="42"/>
    </row>
    <row r="62" spans="2:9" x14ac:dyDescent="0.2">
      <c r="B62" s="45">
        <v>40848</v>
      </c>
      <c r="C62" s="42">
        <v>560</v>
      </c>
      <c r="D62" s="42">
        <v>640</v>
      </c>
      <c r="E62" s="42">
        <v>580</v>
      </c>
      <c r="F62" s="42">
        <v>530</v>
      </c>
      <c r="G62" s="42">
        <v>180</v>
      </c>
      <c r="H62" s="42">
        <v>0</v>
      </c>
      <c r="I62" s="42"/>
    </row>
    <row r="63" spans="2:9" x14ac:dyDescent="0.2">
      <c r="B63" s="45">
        <v>40878</v>
      </c>
      <c r="C63" s="42">
        <v>560</v>
      </c>
      <c r="D63" s="42">
        <v>640</v>
      </c>
      <c r="E63" s="42">
        <v>580</v>
      </c>
      <c r="F63" s="42">
        <v>530</v>
      </c>
      <c r="G63" s="42">
        <v>180</v>
      </c>
      <c r="H63" s="42">
        <v>0</v>
      </c>
      <c r="I63" s="42"/>
    </row>
    <row r="64" spans="2:9" x14ac:dyDescent="0.2">
      <c r="B64" s="45">
        <v>40909</v>
      </c>
      <c r="C64" s="42">
        <v>560</v>
      </c>
      <c r="D64" s="42">
        <v>640</v>
      </c>
      <c r="E64" s="42">
        <v>580</v>
      </c>
      <c r="F64" s="42">
        <v>530</v>
      </c>
      <c r="G64" s="42">
        <v>180</v>
      </c>
      <c r="H64" s="42">
        <v>0</v>
      </c>
      <c r="I64" s="42"/>
    </row>
    <row r="65" spans="2:9" x14ac:dyDescent="0.2">
      <c r="B65" s="45">
        <v>40940</v>
      </c>
      <c r="C65" s="42">
        <v>580</v>
      </c>
      <c r="D65" s="42">
        <v>660</v>
      </c>
      <c r="E65" s="42">
        <v>600</v>
      </c>
      <c r="F65" s="42">
        <v>550</v>
      </c>
      <c r="G65" s="42">
        <v>190</v>
      </c>
      <c r="H65" s="42">
        <v>0</v>
      </c>
      <c r="I65" s="42"/>
    </row>
    <row r="66" spans="2:9" x14ac:dyDescent="0.2">
      <c r="B66" s="45">
        <v>40969</v>
      </c>
      <c r="C66" s="42">
        <v>580</v>
      </c>
      <c r="D66" s="42">
        <v>660</v>
      </c>
      <c r="E66" s="42">
        <v>600</v>
      </c>
      <c r="F66" s="42">
        <v>550</v>
      </c>
      <c r="G66" s="42">
        <v>190</v>
      </c>
      <c r="H66" s="42">
        <v>0</v>
      </c>
      <c r="I66" s="42"/>
    </row>
    <row r="67" spans="2:9" x14ac:dyDescent="0.2">
      <c r="B67" s="45">
        <v>41000</v>
      </c>
      <c r="C67" s="42">
        <v>580</v>
      </c>
      <c r="D67" s="42">
        <v>660</v>
      </c>
      <c r="E67" s="42">
        <v>600</v>
      </c>
      <c r="F67" s="42">
        <v>550</v>
      </c>
      <c r="G67" s="42">
        <v>190</v>
      </c>
      <c r="H67" s="42">
        <v>0</v>
      </c>
      <c r="I67" s="42"/>
    </row>
    <row r="68" spans="2:9" x14ac:dyDescent="0.2">
      <c r="B68" s="45">
        <v>41030</v>
      </c>
      <c r="C68" s="42">
        <v>580</v>
      </c>
      <c r="D68" s="42">
        <v>660</v>
      </c>
      <c r="E68" s="42">
        <v>600</v>
      </c>
      <c r="F68" s="42">
        <v>550</v>
      </c>
      <c r="G68" s="42">
        <v>190</v>
      </c>
      <c r="H68" s="42">
        <v>0</v>
      </c>
      <c r="I68" s="42"/>
    </row>
    <row r="69" spans="2:9" x14ac:dyDescent="0.2">
      <c r="B69" s="45">
        <v>41061</v>
      </c>
      <c r="C69" s="42">
        <v>590</v>
      </c>
      <c r="D69" s="42">
        <v>670</v>
      </c>
      <c r="E69" s="42">
        <v>610</v>
      </c>
      <c r="F69" s="42">
        <v>560</v>
      </c>
      <c r="G69" s="42">
        <v>190</v>
      </c>
      <c r="H69" s="42">
        <v>0</v>
      </c>
      <c r="I69" s="42"/>
    </row>
    <row r="70" spans="2:9" x14ac:dyDescent="0.2">
      <c r="B70" s="45">
        <v>41091</v>
      </c>
      <c r="C70" s="42">
        <v>590</v>
      </c>
      <c r="D70" s="42">
        <v>670</v>
      </c>
      <c r="E70" s="42">
        <v>610</v>
      </c>
      <c r="F70" s="42">
        <v>560</v>
      </c>
      <c r="G70" s="42">
        <v>190</v>
      </c>
      <c r="H70" s="42">
        <v>0</v>
      </c>
      <c r="I70" s="42"/>
    </row>
    <row r="71" spans="2:9" x14ac:dyDescent="0.2">
      <c r="B71" s="45">
        <v>41122</v>
      </c>
      <c r="C71" s="42">
        <v>590</v>
      </c>
      <c r="D71" s="42">
        <v>670</v>
      </c>
      <c r="E71" s="42">
        <v>610</v>
      </c>
      <c r="F71" s="42">
        <v>560</v>
      </c>
      <c r="G71" s="42">
        <v>190</v>
      </c>
      <c r="H71" s="42">
        <v>0</v>
      </c>
      <c r="I71" s="42"/>
    </row>
    <row r="72" spans="2:9" x14ac:dyDescent="0.2">
      <c r="B72" s="45">
        <v>41153</v>
      </c>
      <c r="C72" s="42">
        <v>590</v>
      </c>
      <c r="D72" s="42">
        <v>670</v>
      </c>
      <c r="E72" s="42">
        <v>610</v>
      </c>
      <c r="F72" s="42">
        <v>560</v>
      </c>
      <c r="G72" s="42">
        <v>190</v>
      </c>
      <c r="H72" s="42">
        <v>0</v>
      </c>
      <c r="I72" s="42"/>
    </row>
    <row r="73" spans="2:9" x14ac:dyDescent="0.2">
      <c r="B73" s="45">
        <v>41183</v>
      </c>
      <c r="C73" s="42">
        <v>590</v>
      </c>
      <c r="D73" s="42">
        <v>670</v>
      </c>
      <c r="E73" s="42">
        <v>610</v>
      </c>
      <c r="F73" s="42">
        <v>560</v>
      </c>
      <c r="G73" s="42">
        <v>190</v>
      </c>
      <c r="H73" s="42">
        <v>0</v>
      </c>
      <c r="I73" s="42"/>
    </row>
    <row r="74" spans="2:9" x14ac:dyDescent="0.2">
      <c r="B74" s="45">
        <v>41214</v>
      </c>
      <c r="C74" s="42">
        <v>590</v>
      </c>
      <c r="D74" s="42">
        <v>670</v>
      </c>
      <c r="E74" s="42">
        <v>610</v>
      </c>
      <c r="F74" s="42">
        <v>560</v>
      </c>
      <c r="G74" s="42">
        <v>190</v>
      </c>
      <c r="H74" s="42">
        <v>0</v>
      </c>
      <c r="I74" s="42"/>
    </row>
    <row r="75" spans="2:9" x14ac:dyDescent="0.2">
      <c r="B75" s="45">
        <v>41244</v>
      </c>
      <c r="C75" s="42">
        <v>590</v>
      </c>
      <c r="D75" s="42">
        <v>670</v>
      </c>
      <c r="E75" s="42">
        <v>610</v>
      </c>
      <c r="F75" s="42">
        <v>560</v>
      </c>
      <c r="G75" s="42">
        <v>190</v>
      </c>
      <c r="H75" s="42">
        <v>0</v>
      </c>
      <c r="I75" s="42"/>
    </row>
    <row r="76" spans="2:9" x14ac:dyDescent="0.2">
      <c r="B76" s="45">
        <v>41275</v>
      </c>
      <c r="C76" s="42">
        <v>590</v>
      </c>
      <c r="D76" s="42">
        <v>670</v>
      </c>
      <c r="E76" s="42">
        <v>610</v>
      </c>
      <c r="F76" s="42">
        <v>560</v>
      </c>
      <c r="G76" s="42">
        <v>190</v>
      </c>
      <c r="H76" s="42">
        <v>0</v>
      </c>
      <c r="I76" s="42"/>
    </row>
    <row r="77" spans="2:9" x14ac:dyDescent="0.2">
      <c r="B77" s="45">
        <v>41306</v>
      </c>
      <c r="C77" s="42">
        <v>590</v>
      </c>
      <c r="D77" s="42">
        <v>670</v>
      </c>
      <c r="E77" s="42">
        <v>610</v>
      </c>
      <c r="F77" s="42">
        <v>560</v>
      </c>
      <c r="G77" s="42">
        <v>190</v>
      </c>
      <c r="H77" s="42">
        <v>0</v>
      </c>
      <c r="I77" s="42"/>
    </row>
    <row r="78" spans="2:9" x14ac:dyDescent="0.2">
      <c r="B78" s="45">
        <v>41334</v>
      </c>
      <c r="C78" s="42">
        <v>590</v>
      </c>
      <c r="D78" s="42">
        <v>670</v>
      </c>
      <c r="E78" s="42">
        <v>610</v>
      </c>
      <c r="F78" s="42">
        <v>560</v>
      </c>
      <c r="G78" s="42">
        <v>190</v>
      </c>
      <c r="H78" s="42">
        <v>0</v>
      </c>
      <c r="I78" s="42"/>
    </row>
    <row r="79" spans="2:9" x14ac:dyDescent="0.2">
      <c r="B79" s="45">
        <v>41365</v>
      </c>
      <c r="C79" s="42">
        <v>590</v>
      </c>
      <c r="D79" s="42">
        <v>670</v>
      </c>
      <c r="E79" s="42">
        <v>610</v>
      </c>
      <c r="F79" s="42">
        <v>560</v>
      </c>
      <c r="G79" s="42">
        <v>190</v>
      </c>
      <c r="H79" s="42">
        <v>0</v>
      </c>
      <c r="I79" s="42"/>
    </row>
    <row r="80" spans="2:9" x14ac:dyDescent="0.2">
      <c r="B80" s="45">
        <v>41395</v>
      </c>
      <c r="C80" s="42">
        <v>590</v>
      </c>
      <c r="D80" s="42">
        <v>670</v>
      </c>
      <c r="E80" s="42">
        <v>610</v>
      </c>
      <c r="F80" s="42">
        <v>560</v>
      </c>
      <c r="G80" s="42">
        <v>190</v>
      </c>
      <c r="H80" s="42">
        <v>0</v>
      </c>
      <c r="I80" s="42"/>
    </row>
    <row r="81" spans="2:9" x14ac:dyDescent="0.2">
      <c r="B81" s="45">
        <v>41426</v>
      </c>
      <c r="C81" s="42">
        <v>590</v>
      </c>
      <c r="D81" s="42">
        <v>670</v>
      </c>
      <c r="E81" s="42">
        <v>610</v>
      </c>
      <c r="F81" s="42">
        <v>560</v>
      </c>
      <c r="G81" s="42">
        <v>190</v>
      </c>
      <c r="H81" s="42">
        <v>0</v>
      </c>
      <c r="I81" s="42"/>
    </row>
    <row r="82" spans="2:9" x14ac:dyDescent="0.2">
      <c r="B82" s="45">
        <v>41456</v>
      </c>
      <c r="C82" s="42">
        <v>590</v>
      </c>
      <c r="D82" s="42">
        <v>670</v>
      </c>
      <c r="E82" s="42">
        <v>610</v>
      </c>
      <c r="F82" s="42">
        <v>560</v>
      </c>
      <c r="G82" s="42">
        <v>190</v>
      </c>
      <c r="H82" s="42">
        <v>0</v>
      </c>
      <c r="I82" s="42"/>
    </row>
    <row r="83" spans="2:9" x14ac:dyDescent="0.2">
      <c r="B83" s="45">
        <v>41487</v>
      </c>
      <c r="C83" s="42">
        <v>590</v>
      </c>
      <c r="D83" s="42">
        <v>670</v>
      </c>
      <c r="E83" s="42">
        <v>610</v>
      </c>
      <c r="F83" s="42">
        <v>560</v>
      </c>
      <c r="G83" s="42">
        <v>190</v>
      </c>
      <c r="H83" s="42">
        <v>0</v>
      </c>
      <c r="I83" s="42"/>
    </row>
    <row r="84" spans="2:9" x14ac:dyDescent="0.2">
      <c r="B84" s="45">
        <v>41518</v>
      </c>
      <c r="C84" s="42">
        <v>590</v>
      </c>
      <c r="D84" s="42">
        <v>670</v>
      </c>
      <c r="E84" s="42">
        <v>610</v>
      </c>
      <c r="F84" s="42">
        <v>560</v>
      </c>
      <c r="G84" s="42">
        <v>190</v>
      </c>
      <c r="H84" s="42">
        <v>0</v>
      </c>
      <c r="I84" s="42"/>
    </row>
    <row r="85" spans="2:9" x14ac:dyDescent="0.2">
      <c r="B85" s="45">
        <v>41548</v>
      </c>
      <c r="C85" s="42">
        <v>590</v>
      </c>
      <c r="D85" s="42">
        <v>670</v>
      </c>
      <c r="E85" s="42">
        <v>610</v>
      </c>
      <c r="F85" s="42">
        <v>560</v>
      </c>
      <c r="G85" s="42">
        <v>190</v>
      </c>
      <c r="H85" s="42">
        <v>0</v>
      </c>
      <c r="I85" s="42"/>
    </row>
    <row r="86" spans="2:9" x14ac:dyDescent="0.2">
      <c r="B86" s="45">
        <v>41579</v>
      </c>
      <c r="C86" s="42">
        <v>590</v>
      </c>
      <c r="D86" s="42">
        <v>670</v>
      </c>
      <c r="E86" s="42">
        <v>610</v>
      </c>
      <c r="F86" s="42">
        <v>560</v>
      </c>
      <c r="G86" s="42">
        <v>190</v>
      </c>
      <c r="H86" s="42">
        <v>0</v>
      </c>
      <c r="I86" s="42"/>
    </row>
    <row r="87" spans="2:9" x14ac:dyDescent="0.2">
      <c r="B87" s="45">
        <v>41609</v>
      </c>
      <c r="C87" s="42">
        <v>600</v>
      </c>
      <c r="D87" s="42">
        <v>680</v>
      </c>
      <c r="E87" s="42">
        <v>620</v>
      </c>
      <c r="F87" s="42">
        <v>570</v>
      </c>
      <c r="G87" s="42">
        <v>200</v>
      </c>
      <c r="H87" s="42">
        <v>0</v>
      </c>
      <c r="I87" s="42"/>
    </row>
    <row r="88" spans="2:9" x14ac:dyDescent="0.2">
      <c r="B88" s="45">
        <v>41640</v>
      </c>
      <c r="C88" s="42">
        <v>600</v>
      </c>
      <c r="D88" s="42">
        <v>680</v>
      </c>
      <c r="E88" s="42">
        <v>620</v>
      </c>
      <c r="F88" s="42">
        <v>570</v>
      </c>
      <c r="G88" s="42">
        <v>200</v>
      </c>
      <c r="H88" s="42">
        <v>0</v>
      </c>
      <c r="I88" s="42"/>
    </row>
    <row r="89" spans="2:9" x14ac:dyDescent="0.2">
      <c r="B89" s="45">
        <v>41671</v>
      </c>
      <c r="C89" s="42">
        <v>600</v>
      </c>
      <c r="D89" s="42">
        <v>680</v>
      </c>
      <c r="E89" s="42">
        <v>620</v>
      </c>
      <c r="F89" s="42">
        <v>570</v>
      </c>
      <c r="G89" s="42">
        <v>200</v>
      </c>
      <c r="H89" s="42">
        <v>0</v>
      </c>
      <c r="I89" s="42"/>
    </row>
    <row r="90" spans="2:9" x14ac:dyDescent="0.2">
      <c r="B90" s="45">
        <v>41699</v>
      </c>
      <c r="C90" s="42">
        <v>600</v>
      </c>
      <c r="D90" s="42">
        <v>680</v>
      </c>
      <c r="E90" s="42">
        <v>620</v>
      </c>
      <c r="F90" s="42">
        <v>570</v>
      </c>
      <c r="G90" s="42">
        <v>200</v>
      </c>
      <c r="H90" s="42">
        <v>0</v>
      </c>
      <c r="I90" s="42"/>
    </row>
    <row r="91" spans="2:9" x14ac:dyDescent="0.2">
      <c r="B91" s="45">
        <v>41730</v>
      </c>
      <c r="C91" s="42">
        <v>600</v>
      </c>
      <c r="D91" s="42">
        <v>680</v>
      </c>
      <c r="E91" s="42">
        <v>620</v>
      </c>
      <c r="F91" s="42">
        <v>570</v>
      </c>
      <c r="G91" s="42">
        <v>200</v>
      </c>
      <c r="H91" s="42">
        <v>0</v>
      </c>
      <c r="I91" s="42"/>
    </row>
    <row r="92" spans="2:9" x14ac:dyDescent="0.2">
      <c r="B92" s="45">
        <v>41760</v>
      </c>
      <c r="C92" s="42">
        <v>610</v>
      </c>
      <c r="D92" s="42">
        <v>690</v>
      </c>
      <c r="E92" s="42">
        <v>630</v>
      </c>
      <c r="F92" s="42">
        <v>580</v>
      </c>
      <c r="G92" s="42">
        <v>200</v>
      </c>
      <c r="H92" s="42">
        <v>0</v>
      </c>
      <c r="I92" s="42"/>
    </row>
    <row r="93" spans="2:9" x14ac:dyDescent="0.2">
      <c r="B93" s="45">
        <v>41791</v>
      </c>
      <c r="C93" s="42">
        <v>610</v>
      </c>
      <c r="D93" s="42">
        <v>690</v>
      </c>
      <c r="E93" s="42">
        <v>630</v>
      </c>
      <c r="F93" s="42">
        <v>580</v>
      </c>
      <c r="G93" s="42">
        <v>200</v>
      </c>
      <c r="H93" s="42">
        <v>0</v>
      </c>
      <c r="I93" s="42"/>
    </row>
    <row r="94" spans="2:9" x14ac:dyDescent="0.2">
      <c r="B94" s="45">
        <v>41821</v>
      </c>
      <c r="C94" s="42">
        <v>610</v>
      </c>
      <c r="D94" s="42">
        <v>690</v>
      </c>
      <c r="E94" s="42">
        <v>630</v>
      </c>
      <c r="F94" s="42">
        <v>580</v>
      </c>
      <c r="G94" s="42">
        <v>200</v>
      </c>
      <c r="H94" s="42">
        <v>0</v>
      </c>
      <c r="I94" s="42"/>
    </row>
    <row r="95" spans="2:9" x14ac:dyDescent="0.2">
      <c r="B95" s="45">
        <v>41852</v>
      </c>
      <c r="C95" s="42">
        <v>610</v>
      </c>
      <c r="D95" s="42">
        <v>690</v>
      </c>
      <c r="E95" s="42">
        <v>630</v>
      </c>
      <c r="F95" s="42">
        <v>580</v>
      </c>
      <c r="G95" s="42">
        <v>200</v>
      </c>
      <c r="H95" s="42">
        <v>0</v>
      </c>
      <c r="I95" s="42"/>
    </row>
    <row r="96" spans="2:9" x14ac:dyDescent="0.2">
      <c r="B96" s="45">
        <v>41883</v>
      </c>
      <c r="C96" s="42">
        <v>620</v>
      </c>
      <c r="D96" s="42">
        <v>700</v>
      </c>
      <c r="E96" s="42">
        <v>640</v>
      </c>
      <c r="F96" s="42">
        <v>590</v>
      </c>
      <c r="G96" s="42">
        <v>200</v>
      </c>
      <c r="H96" s="42">
        <v>0</v>
      </c>
      <c r="I96" s="42"/>
    </row>
    <row r="97" spans="2:9" x14ac:dyDescent="0.2">
      <c r="B97" s="45">
        <v>41913</v>
      </c>
      <c r="C97" s="42">
        <v>620</v>
      </c>
      <c r="D97" s="42">
        <v>700</v>
      </c>
      <c r="E97" s="42">
        <v>640</v>
      </c>
      <c r="F97" s="42">
        <v>590</v>
      </c>
      <c r="G97" s="42">
        <v>200</v>
      </c>
      <c r="H97" s="42">
        <v>0</v>
      </c>
      <c r="I97" s="42"/>
    </row>
    <row r="98" spans="2:9" x14ac:dyDescent="0.2">
      <c r="B98" s="45">
        <v>41944</v>
      </c>
      <c r="C98" s="42">
        <v>620</v>
      </c>
      <c r="D98" s="42">
        <v>700</v>
      </c>
      <c r="E98" s="42">
        <v>640</v>
      </c>
      <c r="F98" s="42">
        <v>590</v>
      </c>
      <c r="G98" s="42">
        <v>200</v>
      </c>
      <c r="H98" s="42">
        <v>0</v>
      </c>
      <c r="I98" s="42"/>
    </row>
    <row r="99" spans="2:9" x14ac:dyDescent="0.2">
      <c r="B99" s="45">
        <v>41974</v>
      </c>
      <c r="C99" s="42">
        <v>620</v>
      </c>
      <c r="D99" s="42">
        <v>700</v>
      </c>
      <c r="E99" s="42">
        <v>640</v>
      </c>
      <c r="F99" s="42">
        <v>590</v>
      </c>
      <c r="G99" s="42">
        <v>200</v>
      </c>
      <c r="H99" s="42">
        <v>0</v>
      </c>
      <c r="I99" s="42"/>
    </row>
    <row r="100" spans="2:9" x14ac:dyDescent="0.2">
      <c r="B100" s="45">
        <v>42005</v>
      </c>
      <c r="C100" s="42">
        <v>640</v>
      </c>
      <c r="D100" s="42">
        <v>720</v>
      </c>
      <c r="E100" s="42">
        <v>660</v>
      </c>
      <c r="F100" s="42">
        <v>610</v>
      </c>
      <c r="G100" s="42">
        <v>210</v>
      </c>
      <c r="H100" s="42">
        <v>0</v>
      </c>
      <c r="I100" s="42"/>
    </row>
    <row r="101" spans="2:9" x14ac:dyDescent="0.2">
      <c r="B101" s="45">
        <v>42036</v>
      </c>
      <c r="C101" s="42">
        <v>640</v>
      </c>
      <c r="D101" s="42">
        <v>720</v>
      </c>
      <c r="E101" s="42">
        <v>660</v>
      </c>
      <c r="F101" s="42">
        <v>610</v>
      </c>
      <c r="G101" s="42">
        <v>210</v>
      </c>
      <c r="H101" s="42">
        <v>0</v>
      </c>
      <c r="I101" s="42"/>
    </row>
    <row r="102" spans="2:9" x14ac:dyDescent="0.2">
      <c r="B102" s="45">
        <v>42064</v>
      </c>
      <c r="C102" s="42">
        <v>640</v>
      </c>
      <c r="D102" s="42">
        <v>720</v>
      </c>
      <c r="E102" s="42">
        <v>660</v>
      </c>
      <c r="F102" s="42">
        <v>610</v>
      </c>
      <c r="G102" s="42">
        <v>210</v>
      </c>
      <c r="H102" s="42">
        <v>0</v>
      </c>
      <c r="I102" s="42"/>
    </row>
    <row r="103" spans="2:9" x14ac:dyDescent="0.2">
      <c r="B103" s="45">
        <v>42095</v>
      </c>
      <c r="C103" s="42">
        <v>640</v>
      </c>
      <c r="D103" s="42">
        <v>720</v>
      </c>
      <c r="E103" s="42">
        <v>660</v>
      </c>
      <c r="F103" s="42">
        <v>610</v>
      </c>
      <c r="G103" s="42">
        <v>210</v>
      </c>
      <c r="H103" s="42">
        <v>0</v>
      </c>
      <c r="I103" s="42"/>
    </row>
    <row r="104" spans="2:9" x14ac:dyDescent="0.2">
      <c r="B104" s="45">
        <v>42125</v>
      </c>
      <c r="C104" s="42">
        <v>640</v>
      </c>
      <c r="D104" s="42">
        <v>720</v>
      </c>
      <c r="E104" s="42">
        <v>660</v>
      </c>
      <c r="F104" s="42">
        <v>610</v>
      </c>
      <c r="G104" s="42">
        <v>210</v>
      </c>
      <c r="H104" s="42">
        <v>0</v>
      </c>
      <c r="I104" s="42"/>
    </row>
    <row r="105" spans="2:9" x14ac:dyDescent="0.2">
      <c r="B105" s="45">
        <v>42156</v>
      </c>
      <c r="C105" s="42">
        <v>640</v>
      </c>
      <c r="D105" s="42">
        <v>720</v>
      </c>
      <c r="E105" s="42">
        <v>660</v>
      </c>
      <c r="F105" s="42">
        <v>610</v>
      </c>
      <c r="G105" s="42">
        <v>210</v>
      </c>
      <c r="H105" s="42">
        <v>0</v>
      </c>
      <c r="I105" s="42"/>
    </row>
    <row r="106" spans="2:9" x14ac:dyDescent="0.2">
      <c r="B106" s="45">
        <v>42186</v>
      </c>
      <c r="C106" s="42">
        <v>640</v>
      </c>
      <c r="D106" s="42">
        <v>720</v>
      </c>
      <c r="E106" s="42">
        <v>660</v>
      </c>
      <c r="F106" s="42">
        <v>610</v>
      </c>
      <c r="G106" s="42">
        <v>210</v>
      </c>
      <c r="H106" s="42">
        <v>0</v>
      </c>
      <c r="I106" s="42"/>
    </row>
    <row r="107" spans="2:9" x14ac:dyDescent="0.2">
      <c r="B107" s="45">
        <v>42217</v>
      </c>
      <c r="C107" s="42">
        <v>640</v>
      </c>
      <c r="D107" s="42">
        <v>720</v>
      </c>
      <c r="E107" s="42">
        <v>660</v>
      </c>
      <c r="F107" s="42">
        <v>610</v>
      </c>
      <c r="G107" s="42">
        <v>210</v>
      </c>
      <c r="H107" s="42">
        <v>0</v>
      </c>
      <c r="I107" s="42"/>
    </row>
    <row r="108" spans="2:9" x14ac:dyDescent="0.2">
      <c r="B108" s="45">
        <v>42248</v>
      </c>
      <c r="C108" s="42">
        <v>640</v>
      </c>
      <c r="D108" s="42">
        <v>720</v>
      </c>
      <c r="E108" s="42">
        <v>660</v>
      </c>
      <c r="F108" s="42">
        <v>610</v>
      </c>
      <c r="G108" s="42">
        <v>210</v>
      </c>
      <c r="H108" s="42">
        <v>0</v>
      </c>
      <c r="I108" s="42"/>
    </row>
    <row r="109" spans="2:9" x14ac:dyDescent="0.2">
      <c r="B109" s="45">
        <v>42278</v>
      </c>
      <c r="C109" s="42">
        <v>640</v>
      </c>
      <c r="D109" s="42">
        <v>720</v>
      </c>
      <c r="E109" s="42">
        <v>660</v>
      </c>
      <c r="F109" s="42">
        <v>610</v>
      </c>
      <c r="G109" s="42">
        <v>210</v>
      </c>
      <c r="H109" s="42">
        <v>0</v>
      </c>
      <c r="I109" s="42"/>
    </row>
    <row r="110" spans="2:9" x14ac:dyDescent="0.2">
      <c r="B110" s="45">
        <v>42309</v>
      </c>
      <c r="C110" s="42">
        <v>640</v>
      </c>
      <c r="D110" s="42">
        <v>720</v>
      </c>
      <c r="E110" s="42">
        <v>660</v>
      </c>
      <c r="F110" s="42">
        <v>610</v>
      </c>
      <c r="G110" s="42">
        <v>210</v>
      </c>
      <c r="H110" s="42">
        <v>0</v>
      </c>
      <c r="I110" s="42"/>
    </row>
    <row r="111" spans="2:9" x14ac:dyDescent="0.2">
      <c r="B111" s="45">
        <v>42339</v>
      </c>
      <c r="C111" s="42">
        <v>640</v>
      </c>
      <c r="D111" s="42">
        <v>720</v>
      </c>
      <c r="E111" s="42">
        <v>660</v>
      </c>
      <c r="F111" s="42">
        <v>610</v>
      </c>
      <c r="G111" s="42">
        <v>210</v>
      </c>
      <c r="H111" s="42">
        <v>0</v>
      </c>
      <c r="I111" s="42"/>
    </row>
    <row r="112" spans="2:9" x14ac:dyDescent="0.2">
      <c r="B112" s="45">
        <v>42370</v>
      </c>
      <c r="C112" s="42">
        <v>640</v>
      </c>
      <c r="D112" s="42">
        <v>720</v>
      </c>
      <c r="E112" s="42">
        <v>660</v>
      </c>
      <c r="F112" s="42">
        <v>610</v>
      </c>
      <c r="G112" s="42">
        <v>210</v>
      </c>
      <c r="H112" s="42">
        <v>0</v>
      </c>
      <c r="I112" s="42"/>
    </row>
    <row r="113" spans="2:9" x14ac:dyDescent="0.2">
      <c r="B113" s="45">
        <v>42401</v>
      </c>
      <c r="C113" s="42">
        <v>640</v>
      </c>
      <c r="D113" s="42">
        <v>740</v>
      </c>
      <c r="E113" s="42">
        <v>660</v>
      </c>
      <c r="F113" s="42">
        <v>610</v>
      </c>
      <c r="G113" s="42">
        <v>210</v>
      </c>
      <c r="H113" s="42">
        <v>0</v>
      </c>
      <c r="I113" s="42"/>
    </row>
    <row r="114" spans="2:9" x14ac:dyDescent="0.2">
      <c r="B114" s="45">
        <v>42430</v>
      </c>
      <c r="C114" s="42">
        <v>640</v>
      </c>
      <c r="D114" s="42">
        <v>740</v>
      </c>
      <c r="E114" s="42">
        <v>660</v>
      </c>
      <c r="F114" s="42">
        <v>610</v>
      </c>
      <c r="G114" s="42">
        <v>210</v>
      </c>
      <c r="H114" s="42">
        <v>0</v>
      </c>
      <c r="I114" s="42"/>
    </row>
    <row r="115" spans="2:9" x14ac:dyDescent="0.2">
      <c r="B115" s="45">
        <v>42461</v>
      </c>
      <c r="C115" s="42">
        <v>640</v>
      </c>
      <c r="D115" s="42">
        <v>740</v>
      </c>
      <c r="E115" s="42">
        <v>660</v>
      </c>
      <c r="F115" s="42">
        <v>610</v>
      </c>
      <c r="G115" s="42">
        <v>210</v>
      </c>
      <c r="H115" s="42">
        <v>0</v>
      </c>
      <c r="I115" s="42"/>
    </row>
    <row r="116" spans="2:9" x14ac:dyDescent="0.2">
      <c r="B116" s="45">
        <v>42491</v>
      </c>
      <c r="C116" s="42">
        <v>640</v>
      </c>
      <c r="D116" s="42">
        <v>740</v>
      </c>
      <c r="E116" s="42">
        <v>660</v>
      </c>
      <c r="F116" s="42">
        <v>610</v>
      </c>
      <c r="G116" s="42">
        <v>210</v>
      </c>
      <c r="H116" s="42">
        <v>0</v>
      </c>
      <c r="I116" s="42"/>
    </row>
    <row r="117" spans="2:9" x14ac:dyDescent="0.2">
      <c r="B117" s="45">
        <v>42522</v>
      </c>
      <c r="C117" s="42">
        <v>640</v>
      </c>
      <c r="D117" s="42">
        <v>740</v>
      </c>
      <c r="E117" s="42">
        <v>660</v>
      </c>
      <c r="F117" s="42">
        <v>610</v>
      </c>
      <c r="G117" s="42">
        <v>210</v>
      </c>
      <c r="H117" s="42">
        <v>0</v>
      </c>
      <c r="I117" s="42"/>
    </row>
    <row r="118" spans="2:9" x14ac:dyDescent="0.2">
      <c r="B118" s="45">
        <v>42552</v>
      </c>
      <c r="C118" s="42">
        <v>640</v>
      </c>
      <c r="D118" s="42">
        <v>740</v>
      </c>
      <c r="E118" s="42">
        <v>660</v>
      </c>
      <c r="F118" s="42">
        <v>610</v>
      </c>
      <c r="G118" s="42">
        <v>210</v>
      </c>
      <c r="H118" s="42">
        <v>0</v>
      </c>
      <c r="I118" s="42"/>
    </row>
    <row r="119" spans="2:9" x14ac:dyDescent="0.2">
      <c r="B119" s="45">
        <v>42583</v>
      </c>
      <c r="C119" s="42">
        <v>640</v>
      </c>
      <c r="D119" s="42">
        <v>740</v>
      </c>
      <c r="E119" s="42">
        <v>660</v>
      </c>
      <c r="F119" s="42">
        <v>610</v>
      </c>
      <c r="G119" s="42">
        <v>210</v>
      </c>
      <c r="H119" s="42">
        <v>0</v>
      </c>
      <c r="I119" s="42"/>
    </row>
    <row r="120" spans="2:9" x14ac:dyDescent="0.2">
      <c r="B120" s="45">
        <v>42614</v>
      </c>
      <c r="C120" s="42">
        <v>640</v>
      </c>
      <c r="D120" s="42">
        <v>740</v>
      </c>
      <c r="E120" s="42">
        <v>660</v>
      </c>
      <c r="F120" s="42">
        <v>610</v>
      </c>
      <c r="G120" s="42">
        <v>210</v>
      </c>
      <c r="H120" s="42">
        <v>0</v>
      </c>
      <c r="I120" s="42"/>
    </row>
    <row r="121" spans="2:9" x14ac:dyDescent="0.2">
      <c r="B121" s="45">
        <v>42644</v>
      </c>
      <c r="C121" s="42">
        <v>640</v>
      </c>
      <c r="D121" s="42">
        <v>740</v>
      </c>
      <c r="E121" s="42">
        <v>660</v>
      </c>
      <c r="F121" s="42">
        <v>610</v>
      </c>
      <c r="G121" s="42">
        <v>210</v>
      </c>
      <c r="H121" s="42">
        <v>0</v>
      </c>
      <c r="I121" s="42"/>
    </row>
    <row r="122" spans="2:9" x14ac:dyDescent="0.2">
      <c r="B122" s="45">
        <v>42675</v>
      </c>
      <c r="C122" s="42">
        <v>640</v>
      </c>
      <c r="D122" s="42">
        <v>740</v>
      </c>
      <c r="E122" s="42">
        <v>660</v>
      </c>
      <c r="F122" s="42">
        <v>610</v>
      </c>
      <c r="G122" s="42">
        <v>210</v>
      </c>
      <c r="H122" s="42">
        <v>0</v>
      </c>
      <c r="I122" s="42"/>
    </row>
    <row r="123" spans="2:9" x14ac:dyDescent="0.2">
      <c r="B123" s="45">
        <v>42705</v>
      </c>
      <c r="C123" s="42">
        <v>640</v>
      </c>
      <c r="D123" s="42">
        <v>740</v>
      </c>
      <c r="E123" s="42">
        <v>660</v>
      </c>
      <c r="F123" s="42">
        <v>610</v>
      </c>
      <c r="G123" s="42">
        <v>210</v>
      </c>
      <c r="H123" s="42">
        <v>0</v>
      </c>
      <c r="I123" s="42"/>
    </row>
    <row r="124" spans="2:9" x14ac:dyDescent="0.2">
      <c r="B124" s="45">
        <v>42736</v>
      </c>
      <c r="C124" s="42">
        <v>640</v>
      </c>
      <c r="D124" s="42">
        <v>740</v>
      </c>
      <c r="E124" s="42">
        <v>660</v>
      </c>
      <c r="F124" s="42">
        <v>610</v>
      </c>
      <c r="G124" s="42">
        <v>210</v>
      </c>
      <c r="H124" s="42">
        <v>0</v>
      </c>
      <c r="I124" s="42"/>
    </row>
    <row r="125" spans="2:9" x14ac:dyDescent="0.2">
      <c r="B125" s="45">
        <v>42767</v>
      </c>
      <c r="C125" s="42">
        <v>640</v>
      </c>
      <c r="D125" s="42">
        <v>740</v>
      </c>
      <c r="E125" s="42">
        <v>660</v>
      </c>
      <c r="F125" s="42">
        <v>610</v>
      </c>
      <c r="G125" s="42">
        <v>210</v>
      </c>
      <c r="H125" s="42">
        <v>0</v>
      </c>
      <c r="I125" s="42"/>
    </row>
    <row r="126" spans="2:9" x14ac:dyDescent="0.2">
      <c r="B126" s="45">
        <v>42795</v>
      </c>
      <c r="C126" s="42">
        <v>640</v>
      </c>
      <c r="D126" s="42">
        <v>740</v>
      </c>
      <c r="E126" s="42">
        <v>660</v>
      </c>
      <c r="F126" s="42">
        <v>610</v>
      </c>
      <c r="G126" s="42">
        <v>210</v>
      </c>
      <c r="H126" s="42">
        <v>0</v>
      </c>
      <c r="I126" s="42"/>
    </row>
    <row r="127" spans="2:9" x14ac:dyDescent="0.2">
      <c r="B127" s="45">
        <v>42826</v>
      </c>
      <c r="C127" s="42">
        <v>640</v>
      </c>
      <c r="D127" s="42">
        <v>740</v>
      </c>
      <c r="E127" s="42">
        <v>660</v>
      </c>
      <c r="F127" s="42">
        <v>610</v>
      </c>
      <c r="G127" s="42">
        <v>210</v>
      </c>
      <c r="H127" s="42">
        <v>0</v>
      </c>
      <c r="I127" s="42"/>
    </row>
    <row r="128" spans="2:9" x14ac:dyDescent="0.2">
      <c r="B128" s="45">
        <v>42856</v>
      </c>
      <c r="C128" s="42">
        <v>640</v>
      </c>
      <c r="D128" s="42">
        <v>740</v>
      </c>
      <c r="E128" s="42">
        <v>660</v>
      </c>
      <c r="F128" s="42">
        <v>610</v>
      </c>
      <c r="G128" s="42">
        <v>210</v>
      </c>
      <c r="H128" s="42">
        <v>0</v>
      </c>
      <c r="I128" s="42"/>
    </row>
    <row r="129" spans="2:9" x14ac:dyDescent="0.2">
      <c r="B129" s="45">
        <v>42887</v>
      </c>
      <c r="C129" s="42">
        <v>640</v>
      </c>
      <c r="D129" s="42">
        <v>740</v>
      </c>
      <c r="E129" s="42">
        <v>660</v>
      </c>
      <c r="F129" s="42">
        <v>610</v>
      </c>
      <c r="G129" s="42">
        <v>210</v>
      </c>
      <c r="H129" s="42">
        <v>0</v>
      </c>
      <c r="I129" s="42"/>
    </row>
    <row r="130" spans="2:9" x14ac:dyDescent="0.2">
      <c r="B130" s="45">
        <v>42917</v>
      </c>
      <c r="C130" s="42">
        <v>640</v>
      </c>
      <c r="D130" s="42">
        <v>740</v>
      </c>
      <c r="E130" s="42">
        <v>660</v>
      </c>
      <c r="F130" s="42">
        <v>610</v>
      </c>
      <c r="G130" s="42">
        <v>210</v>
      </c>
      <c r="H130" s="42">
        <v>0</v>
      </c>
      <c r="I130" s="42"/>
    </row>
    <row r="131" spans="2:9" x14ac:dyDescent="0.2">
      <c r="B131" s="45">
        <v>42948</v>
      </c>
      <c r="C131" s="42">
        <v>640</v>
      </c>
      <c r="D131" s="42">
        <v>740</v>
      </c>
      <c r="E131" s="42">
        <v>660</v>
      </c>
      <c r="F131" s="42">
        <v>610</v>
      </c>
      <c r="G131" s="42">
        <v>210</v>
      </c>
      <c r="H131" s="42">
        <v>0</v>
      </c>
      <c r="I131" s="42"/>
    </row>
    <row r="132" spans="2:9" x14ac:dyDescent="0.2">
      <c r="B132" s="45">
        <v>42979</v>
      </c>
      <c r="C132" s="42">
        <v>640</v>
      </c>
      <c r="D132" s="42">
        <v>740</v>
      </c>
      <c r="E132" s="42">
        <v>660</v>
      </c>
      <c r="F132" s="42">
        <v>610</v>
      </c>
      <c r="G132" s="42">
        <v>210</v>
      </c>
      <c r="H132" s="42">
        <v>0</v>
      </c>
      <c r="I132" s="42"/>
    </row>
    <row r="133" spans="2:9" x14ac:dyDescent="0.2">
      <c r="B133" s="45">
        <v>43009</v>
      </c>
      <c r="C133" s="42">
        <v>640</v>
      </c>
      <c r="D133" s="42">
        <v>740</v>
      </c>
      <c r="E133" s="42">
        <v>660</v>
      </c>
      <c r="F133" s="42">
        <v>610</v>
      </c>
      <c r="G133" s="42">
        <v>210</v>
      </c>
      <c r="H133" s="42">
        <v>0</v>
      </c>
      <c r="I133" s="42"/>
    </row>
    <row r="134" spans="2:9" x14ac:dyDescent="0.2">
      <c r="B134" s="45">
        <v>43040</v>
      </c>
      <c r="C134" s="42">
        <v>640</v>
      </c>
      <c r="D134" s="42">
        <v>740</v>
      </c>
      <c r="E134" s="42">
        <v>660</v>
      </c>
      <c r="F134" s="42">
        <v>610</v>
      </c>
      <c r="G134" s="42">
        <v>210</v>
      </c>
      <c r="H134" s="42">
        <v>0</v>
      </c>
      <c r="I134" s="42"/>
    </row>
    <row r="135" spans="2:9" x14ac:dyDescent="0.2">
      <c r="B135" s="45">
        <v>43070</v>
      </c>
      <c r="C135" s="42">
        <v>640</v>
      </c>
      <c r="D135" s="42">
        <v>740</v>
      </c>
      <c r="E135" s="42">
        <v>660</v>
      </c>
      <c r="F135" s="42">
        <v>610</v>
      </c>
      <c r="G135" s="42">
        <v>210</v>
      </c>
      <c r="H135" s="42">
        <v>0</v>
      </c>
      <c r="I135" s="42"/>
    </row>
    <row r="136" spans="2:9" x14ac:dyDescent="0.2">
      <c r="B136" s="45">
        <v>43101</v>
      </c>
      <c r="C136" s="42">
        <v>640</v>
      </c>
      <c r="D136" s="42">
        <v>740</v>
      </c>
      <c r="E136" s="42">
        <v>660</v>
      </c>
      <c r="F136" s="42">
        <v>610</v>
      </c>
      <c r="G136" s="42">
        <v>210</v>
      </c>
      <c r="H136" s="42">
        <v>0</v>
      </c>
      <c r="I136" s="42"/>
    </row>
    <row r="137" spans="2:9" x14ac:dyDescent="0.2">
      <c r="B137" s="45">
        <v>43132</v>
      </c>
      <c r="C137" s="42">
        <v>660</v>
      </c>
      <c r="D137" s="42">
        <v>760</v>
      </c>
      <c r="E137" s="42">
        <v>680</v>
      </c>
      <c r="F137" s="42">
        <v>630</v>
      </c>
      <c r="G137" s="42">
        <v>220</v>
      </c>
      <c r="H137" s="42">
        <v>0</v>
      </c>
      <c r="I137" s="42"/>
    </row>
    <row r="138" spans="2:9" x14ac:dyDescent="0.2">
      <c r="B138" s="45">
        <v>43160</v>
      </c>
      <c r="C138" s="42">
        <v>660</v>
      </c>
      <c r="D138" s="42">
        <v>760</v>
      </c>
      <c r="E138" s="42">
        <v>680</v>
      </c>
      <c r="F138" s="42">
        <v>630</v>
      </c>
      <c r="G138" s="42">
        <v>220</v>
      </c>
      <c r="H138" s="42">
        <v>0</v>
      </c>
      <c r="I138" s="42"/>
    </row>
    <row r="139" spans="2:9" x14ac:dyDescent="0.2">
      <c r="B139" s="45">
        <v>43191</v>
      </c>
      <c r="C139" s="42">
        <v>660</v>
      </c>
      <c r="D139" s="42">
        <v>760</v>
      </c>
      <c r="E139" s="42">
        <v>680</v>
      </c>
      <c r="F139" s="42">
        <v>630</v>
      </c>
      <c r="G139" s="42">
        <v>220</v>
      </c>
      <c r="H139" s="42">
        <v>0</v>
      </c>
      <c r="I139" s="42"/>
    </row>
    <row r="140" spans="2:9" x14ac:dyDescent="0.2">
      <c r="B140" s="45">
        <v>43221</v>
      </c>
      <c r="C140" s="42">
        <v>660</v>
      </c>
      <c r="D140" s="42">
        <v>760</v>
      </c>
      <c r="E140" s="42">
        <v>680</v>
      </c>
      <c r="F140" s="42">
        <v>630</v>
      </c>
      <c r="G140" s="42">
        <v>220</v>
      </c>
      <c r="H140" s="42">
        <v>0</v>
      </c>
      <c r="I140" s="42"/>
    </row>
    <row r="141" spans="2:9" x14ac:dyDescent="0.2">
      <c r="B141" s="45">
        <v>43252</v>
      </c>
      <c r="C141" s="42">
        <v>660</v>
      </c>
      <c r="D141" s="42">
        <v>760</v>
      </c>
      <c r="E141" s="42">
        <v>680</v>
      </c>
      <c r="F141" s="42">
        <v>630</v>
      </c>
      <c r="G141" s="42">
        <v>220</v>
      </c>
      <c r="H141" s="42">
        <v>0</v>
      </c>
      <c r="I141" s="42"/>
    </row>
    <row r="142" spans="2:9" x14ac:dyDescent="0.2">
      <c r="B142" s="45">
        <v>43282</v>
      </c>
      <c r="C142" s="42">
        <v>660</v>
      </c>
      <c r="D142" s="42">
        <v>760</v>
      </c>
      <c r="E142" s="42">
        <v>680</v>
      </c>
      <c r="F142" s="42">
        <v>630</v>
      </c>
      <c r="G142" s="42">
        <v>220</v>
      </c>
      <c r="H142" s="42">
        <v>0</v>
      </c>
      <c r="I142" s="42"/>
    </row>
    <row r="143" spans="2:9" x14ac:dyDescent="0.2">
      <c r="B143" s="45">
        <v>43313</v>
      </c>
      <c r="C143" s="42">
        <v>660</v>
      </c>
      <c r="D143" s="42">
        <v>760</v>
      </c>
      <c r="E143" s="42">
        <v>680</v>
      </c>
      <c r="F143" s="42">
        <v>630</v>
      </c>
      <c r="G143" s="42">
        <v>220</v>
      </c>
      <c r="H143" s="42">
        <v>0</v>
      </c>
      <c r="I143" s="42"/>
    </row>
    <row r="144" spans="2:9" x14ac:dyDescent="0.2">
      <c r="B144" s="45">
        <v>43344</v>
      </c>
      <c r="C144" s="42">
        <v>660</v>
      </c>
      <c r="D144" s="42">
        <v>760</v>
      </c>
      <c r="E144" s="42">
        <v>680</v>
      </c>
      <c r="F144" s="42">
        <v>630</v>
      </c>
      <c r="G144" s="42">
        <v>220</v>
      </c>
      <c r="H144" s="42">
        <v>0</v>
      </c>
      <c r="I144" s="42"/>
    </row>
    <row r="145" spans="2:9" x14ac:dyDescent="0.2">
      <c r="B145" s="45">
        <v>43374</v>
      </c>
      <c r="C145" s="42">
        <v>680</v>
      </c>
      <c r="D145" s="42">
        <v>780</v>
      </c>
      <c r="E145" s="42">
        <v>700</v>
      </c>
      <c r="F145" s="42">
        <v>650</v>
      </c>
      <c r="G145" s="42">
        <v>220</v>
      </c>
      <c r="H145" s="42">
        <v>0</v>
      </c>
      <c r="I145" s="42"/>
    </row>
    <row r="146" spans="2:9" x14ac:dyDescent="0.2">
      <c r="B146" s="45">
        <v>43405</v>
      </c>
      <c r="C146" s="42">
        <v>680</v>
      </c>
      <c r="D146" s="42">
        <v>780</v>
      </c>
      <c r="E146" s="42">
        <v>700</v>
      </c>
      <c r="F146" s="42">
        <v>650</v>
      </c>
      <c r="G146" s="42">
        <v>220</v>
      </c>
      <c r="H146" s="42">
        <v>0</v>
      </c>
      <c r="I146" s="42"/>
    </row>
    <row r="147" spans="2:9" x14ac:dyDescent="0.2">
      <c r="B147" s="45">
        <v>43435</v>
      </c>
      <c r="C147" s="42">
        <v>680</v>
      </c>
      <c r="D147" s="42">
        <v>780</v>
      </c>
      <c r="E147" s="42">
        <v>700</v>
      </c>
      <c r="F147" s="42">
        <v>650</v>
      </c>
      <c r="G147" s="42">
        <v>220</v>
      </c>
      <c r="H147" s="42">
        <v>0</v>
      </c>
      <c r="I147" s="42"/>
    </row>
    <row r="148" spans="2:9" x14ac:dyDescent="0.2">
      <c r="B148" s="45">
        <v>43466</v>
      </c>
      <c r="C148" s="42">
        <v>700</v>
      </c>
      <c r="D148" s="42">
        <v>800</v>
      </c>
      <c r="E148" s="42">
        <v>720</v>
      </c>
      <c r="F148" s="42">
        <v>670</v>
      </c>
      <c r="G148" s="42">
        <v>230</v>
      </c>
      <c r="H148" s="42">
        <v>0</v>
      </c>
      <c r="I148" s="42"/>
    </row>
    <row r="149" spans="2:9" x14ac:dyDescent="0.2">
      <c r="B149" s="45">
        <v>43497</v>
      </c>
      <c r="C149" s="42">
        <v>700</v>
      </c>
      <c r="D149" s="42">
        <v>800</v>
      </c>
      <c r="E149" s="42">
        <v>720</v>
      </c>
      <c r="F149" s="42">
        <v>670</v>
      </c>
      <c r="G149" s="42">
        <v>230</v>
      </c>
      <c r="H149" s="42">
        <v>0</v>
      </c>
      <c r="I149" s="42"/>
    </row>
    <row r="150" spans="2:9" x14ac:dyDescent="0.2">
      <c r="B150" s="45">
        <v>43525</v>
      </c>
      <c r="C150" s="42">
        <v>700</v>
      </c>
      <c r="D150" s="42">
        <v>800</v>
      </c>
      <c r="E150" s="42">
        <v>720</v>
      </c>
      <c r="F150" s="42">
        <v>670</v>
      </c>
      <c r="G150" s="42">
        <v>230</v>
      </c>
      <c r="H150" s="42">
        <v>0</v>
      </c>
      <c r="I150" s="42"/>
    </row>
    <row r="151" spans="2:9" x14ac:dyDescent="0.2">
      <c r="B151" s="45">
        <v>43556</v>
      </c>
      <c r="C151" s="42">
        <v>700</v>
      </c>
      <c r="D151" s="42">
        <v>800</v>
      </c>
      <c r="E151" s="42">
        <v>720</v>
      </c>
      <c r="F151" s="42">
        <v>670</v>
      </c>
      <c r="G151" s="42">
        <v>230</v>
      </c>
      <c r="H151" s="42">
        <v>0</v>
      </c>
      <c r="I151" s="42"/>
    </row>
    <row r="152" spans="2:9" x14ac:dyDescent="0.2">
      <c r="B152" s="45">
        <v>43586</v>
      </c>
      <c r="C152" s="42">
        <v>700</v>
      </c>
      <c r="D152" s="42">
        <v>800</v>
      </c>
      <c r="E152" s="42">
        <v>720</v>
      </c>
      <c r="F152" s="42">
        <v>670</v>
      </c>
      <c r="G152" s="42">
        <v>230</v>
      </c>
      <c r="H152" s="42">
        <v>0</v>
      </c>
      <c r="I152" s="42"/>
    </row>
    <row r="153" spans="2:9" x14ac:dyDescent="0.2">
      <c r="B153" s="45">
        <v>43617</v>
      </c>
      <c r="C153" s="42">
        <v>700</v>
      </c>
      <c r="D153" s="42">
        <v>800</v>
      </c>
      <c r="E153" s="42">
        <v>720</v>
      </c>
      <c r="F153" s="42">
        <v>670</v>
      </c>
      <c r="G153" s="42">
        <v>230</v>
      </c>
      <c r="H153" s="42">
        <v>0</v>
      </c>
      <c r="I153" s="42"/>
    </row>
    <row r="154" spans="2:9" x14ac:dyDescent="0.2">
      <c r="B154" s="45">
        <v>43647</v>
      </c>
      <c r="C154" s="42">
        <v>700</v>
      </c>
      <c r="D154" s="42">
        <v>800</v>
      </c>
      <c r="E154" s="42">
        <v>720</v>
      </c>
      <c r="F154" s="42">
        <v>670</v>
      </c>
      <c r="G154" s="42">
        <v>230</v>
      </c>
      <c r="H154" s="42">
        <v>0</v>
      </c>
      <c r="I154" s="42"/>
    </row>
    <row r="155" spans="2:9" x14ac:dyDescent="0.2">
      <c r="B155" s="45">
        <v>43678</v>
      </c>
      <c r="C155" s="42">
        <v>700</v>
      </c>
      <c r="D155" s="42">
        <v>800</v>
      </c>
      <c r="E155" s="42">
        <v>720</v>
      </c>
      <c r="F155" s="42">
        <v>670</v>
      </c>
      <c r="G155" s="42">
        <v>230</v>
      </c>
      <c r="H155" s="42">
        <v>0</v>
      </c>
      <c r="I155" s="42"/>
    </row>
    <row r="156" spans="2:9" x14ac:dyDescent="0.2">
      <c r="B156" s="45">
        <v>43709</v>
      </c>
      <c r="C156" s="42">
        <v>700</v>
      </c>
      <c r="D156" s="42">
        <v>800</v>
      </c>
      <c r="E156" s="42">
        <v>720</v>
      </c>
      <c r="F156" s="42">
        <v>670</v>
      </c>
      <c r="G156" s="42">
        <v>230</v>
      </c>
      <c r="H156" s="42">
        <v>0</v>
      </c>
      <c r="I156" s="42"/>
    </row>
    <row r="157" spans="2:9" x14ac:dyDescent="0.2">
      <c r="B157" s="45">
        <v>43739</v>
      </c>
      <c r="C157" s="42">
        <v>700</v>
      </c>
      <c r="D157" s="42">
        <v>800</v>
      </c>
      <c r="E157" s="42">
        <v>720</v>
      </c>
      <c r="F157" s="42">
        <v>640</v>
      </c>
      <c r="G157" s="42">
        <v>230</v>
      </c>
      <c r="H157" s="42">
        <v>0</v>
      </c>
      <c r="I157" s="42"/>
    </row>
    <row r="158" spans="2:9" x14ac:dyDescent="0.2">
      <c r="B158" s="45">
        <v>43770</v>
      </c>
      <c r="C158" s="42">
        <v>700</v>
      </c>
      <c r="D158" s="42">
        <v>800</v>
      </c>
      <c r="E158" s="42">
        <v>720</v>
      </c>
      <c r="F158" s="42">
        <v>640</v>
      </c>
      <c r="G158" s="42">
        <v>230</v>
      </c>
      <c r="H158" s="42">
        <v>0</v>
      </c>
      <c r="I158" s="42"/>
    </row>
    <row r="159" spans="2:9" x14ac:dyDescent="0.2">
      <c r="B159" s="45">
        <v>43800</v>
      </c>
      <c r="C159" s="42">
        <v>700</v>
      </c>
      <c r="D159" s="42">
        <v>800</v>
      </c>
      <c r="E159" s="42">
        <v>720</v>
      </c>
      <c r="F159" s="42">
        <v>640</v>
      </c>
      <c r="G159" s="42">
        <v>230</v>
      </c>
      <c r="H159" s="42">
        <v>0</v>
      </c>
      <c r="I159" s="42"/>
    </row>
    <row r="160" spans="2:9" x14ac:dyDescent="0.2">
      <c r="B160" s="45">
        <v>43831</v>
      </c>
      <c r="C160" s="42">
        <v>700</v>
      </c>
      <c r="D160" s="42">
        <v>800</v>
      </c>
      <c r="E160" s="42">
        <v>720</v>
      </c>
      <c r="F160" s="42">
        <v>640</v>
      </c>
      <c r="G160" s="42">
        <v>230</v>
      </c>
      <c r="H160" s="42">
        <v>0</v>
      </c>
      <c r="I160" s="42"/>
    </row>
    <row r="161" spans="2:9" x14ac:dyDescent="0.2">
      <c r="B161" s="45">
        <v>43862</v>
      </c>
      <c r="C161" s="42">
        <v>700</v>
      </c>
      <c r="D161" s="42">
        <v>800</v>
      </c>
      <c r="E161" s="42">
        <v>720</v>
      </c>
      <c r="F161" s="42">
        <v>640</v>
      </c>
      <c r="G161" s="42">
        <v>230</v>
      </c>
      <c r="H161" s="42">
        <v>0</v>
      </c>
      <c r="I161" s="42"/>
    </row>
    <row r="162" spans="2:9" x14ac:dyDescent="0.2">
      <c r="B162" s="45">
        <v>43891</v>
      </c>
      <c r="C162" s="42">
        <v>700</v>
      </c>
      <c r="D162" s="42">
        <v>800</v>
      </c>
      <c r="E162" s="42">
        <v>720</v>
      </c>
      <c r="F162" s="42">
        <v>640</v>
      </c>
      <c r="G162" s="42">
        <v>230</v>
      </c>
      <c r="H162" s="42">
        <v>0</v>
      </c>
      <c r="I162" s="42"/>
    </row>
    <row r="163" spans="2:9" x14ac:dyDescent="0.2">
      <c r="B163" s="45">
        <v>43922</v>
      </c>
      <c r="C163" s="42">
        <v>700</v>
      </c>
      <c r="D163" s="42">
        <v>800</v>
      </c>
      <c r="E163" s="42">
        <v>720</v>
      </c>
      <c r="F163" s="42">
        <v>640</v>
      </c>
      <c r="G163" s="42">
        <v>230</v>
      </c>
      <c r="H163" s="42">
        <v>0</v>
      </c>
      <c r="I163" s="42"/>
    </row>
    <row r="164" spans="2:9" x14ac:dyDescent="0.2">
      <c r="B164" s="45">
        <v>43952</v>
      </c>
      <c r="C164" s="42">
        <v>700</v>
      </c>
      <c r="D164" s="42">
        <v>800</v>
      </c>
      <c r="E164" s="42">
        <v>720</v>
      </c>
      <c r="F164" s="42">
        <v>640</v>
      </c>
      <c r="G164" s="42">
        <v>230</v>
      </c>
      <c r="H164" s="42">
        <v>0</v>
      </c>
      <c r="I164" s="42"/>
    </row>
    <row r="165" spans="2:9" x14ac:dyDescent="0.2">
      <c r="B165" s="45">
        <v>43983</v>
      </c>
      <c r="C165" s="42">
        <v>700</v>
      </c>
      <c r="D165" s="42">
        <v>800</v>
      </c>
      <c r="E165" s="42">
        <v>720</v>
      </c>
      <c r="F165" s="42">
        <v>640</v>
      </c>
      <c r="G165" s="42">
        <v>230</v>
      </c>
      <c r="H165" s="42">
        <v>0</v>
      </c>
      <c r="I165" s="42"/>
    </row>
    <row r="166" spans="2:9" x14ac:dyDescent="0.2">
      <c r="B166" s="45">
        <v>44013</v>
      </c>
      <c r="C166" s="42">
        <v>700</v>
      </c>
      <c r="D166" s="42">
        <v>800</v>
      </c>
      <c r="E166" s="42">
        <v>720</v>
      </c>
      <c r="F166" s="42">
        <v>640</v>
      </c>
      <c r="G166" s="42">
        <v>230</v>
      </c>
      <c r="H166" s="42">
        <v>0</v>
      </c>
      <c r="I166" s="42">
        <v>350</v>
      </c>
    </row>
    <row r="167" spans="2:9" x14ac:dyDescent="0.2">
      <c r="B167" s="45">
        <v>44044</v>
      </c>
      <c r="C167" s="42">
        <v>700</v>
      </c>
      <c r="D167" s="42">
        <v>800</v>
      </c>
      <c r="E167" s="42">
        <v>720</v>
      </c>
      <c r="F167" s="42">
        <v>640</v>
      </c>
      <c r="G167" s="42">
        <v>230</v>
      </c>
      <c r="H167" s="42">
        <v>0</v>
      </c>
      <c r="I167" s="42">
        <v>350</v>
      </c>
    </row>
    <row r="168" spans="2:9" x14ac:dyDescent="0.2">
      <c r="B168" s="45">
        <v>44075</v>
      </c>
      <c r="C168" s="42">
        <v>700</v>
      </c>
      <c r="D168" s="42">
        <v>800</v>
      </c>
      <c r="E168" s="42">
        <v>720</v>
      </c>
      <c r="F168" s="42">
        <v>640</v>
      </c>
      <c r="G168" s="42">
        <v>230</v>
      </c>
      <c r="H168" s="42">
        <v>0</v>
      </c>
      <c r="I168" s="42">
        <v>350</v>
      </c>
    </row>
    <row r="169" spans="2:9" x14ac:dyDescent="0.2">
      <c r="B169" s="45">
        <v>44105</v>
      </c>
      <c r="C169" s="42">
        <v>700</v>
      </c>
      <c r="D169" s="42">
        <v>800</v>
      </c>
      <c r="E169" s="42">
        <v>720</v>
      </c>
      <c r="F169" s="42">
        <v>640</v>
      </c>
      <c r="G169" s="42">
        <v>230</v>
      </c>
      <c r="H169" s="42">
        <v>0</v>
      </c>
      <c r="I169" s="42">
        <v>350</v>
      </c>
    </row>
    <row r="170" spans="2:9" x14ac:dyDescent="0.2">
      <c r="B170" s="45">
        <v>44136</v>
      </c>
      <c r="C170" s="42">
        <v>700</v>
      </c>
      <c r="D170" s="42">
        <v>800</v>
      </c>
      <c r="E170" s="42">
        <v>720</v>
      </c>
      <c r="F170" s="42">
        <v>640</v>
      </c>
      <c r="G170" s="42">
        <v>230</v>
      </c>
      <c r="H170" s="42">
        <v>0</v>
      </c>
      <c r="I170" s="42">
        <v>350</v>
      </c>
    </row>
    <row r="171" spans="2:9" x14ac:dyDescent="0.2">
      <c r="B171" s="45">
        <v>44166</v>
      </c>
      <c r="C171" s="42">
        <v>700</v>
      </c>
      <c r="D171" s="42">
        <v>800</v>
      </c>
      <c r="E171" s="42">
        <v>720</v>
      </c>
      <c r="F171" s="42">
        <v>640</v>
      </c>
      <c r="G171" s="42">
        <v>230</v>
      </c>
      <c r="H171" s="42">
        <v>0</v>
      </c>
      <c r="I171" s="42">
        <v>350</v>
      </c>
    </row>
    <row r="172" spans="2:9" x14ac:dyDescent="0.2">
      <c r="B172" s="45">
        <v>44197</v>
      </c>
      <c r="C172" s="42">
        <v>700</v>
      </c>
      <c r="D172" s="42">
        <v>800</v>
      </c>
      <c r="E172" s="42">
        <v>720</v>
      </c>
      <c r="F172" s="42">
        <v>640</v>
      </c>
      <c r="G172" s="42">
        <v>230</v>
      </c>
      <c r="H172" s="42">
        <v>0</v>
      </c>
      <c r="I172" s="42">
        <v>350</v>
      </c>
    </row>
    <row r="173" spans="2:9" x14ac:dyDescent="0.2">
      <c r="B173" s="45">
        <v>44228</v>
      </c>
      <c r="C173" s="42">
        <v>700</v>
      </c>
      <c r="D173" s="42">
        <v>800</v>
      </c>
      <c r="E173" s="42">
        <v>720</v>
      </c>
      <c r="F173" s="42">
        <v>640</v>
      </c>
      <c r="G173" s="42">
        <v>230</v>
      </c>
      <c r="H173" s="42">
        <v>0</v>
      </c>
      <c r="I173" s="42">
        <v>350</v>
      </c>
    </row>
    <row r="174" spans="2:9" x14ac:dyDescent="0.2">
      <c r="B174" s="45">
        <v>44256</v>
      </c>
      <c r="C174" s="42">
        <v>700</v>
      </c>
      <c r="D174" s="42">
        <v>800</v>
      </c>
      <c r="E174" s="42">
        <v>720</v>
      </c>
      <c r="F174" s="42">
        <v>640</v>
      </c>
      <c r="G174" s="42">
        <v>230</v>
      </c>
      <c r="H174" s="42">
        <v>0</v>
      </c>
      <c r="I174" s="42">
        <v>350</v>
      </c>
    </row>
    <row r="175" spans="2:9" x14ac:dyDescent="0.2">
      <c r="B175" s="45">
        <v>44287</v>
      </c>
      <c r="C175" s="42">
        <v>700</v>
      </c>
      <c r="D175" s="42">
        <v>800</v>
      </c>
      <c r="E175" s="42">
        <v>720</v>
      </c>
      <c r="F175" s="42">
        <v>640</v>
      </c>
      <c r="G175" s="42">
        <v>230</v>
      </c>
      <c r="H175" s="42">
        <v>0</v>
      </c>
      <c r="I175" s="42">
        <v>350</v>
      </c>
    </row>
    <row r="176" spans="2:9" x14ac:dyDescent="0.2">
      <c r="B176" s="45">
        <v>44317</v>
      </c>
      <c r="C176" s="42">
        <v>700</v>
      </c>
      <c r="D176" s="42">
        <v>800</v>
      </c>
      <c r="E176" s="42">
        <v>720</v>
      </c>
      <c r="F176" s="42">
        <v>640</v>
      </c>
      <c r="G176" s="42">
        <v>230</v>
      </c>
      <c r="H176" s="42">
        <v>0</v>
      </c>
      <c r="I176" s="42">
        <v>350</v>
      </c>
    </row>
    <row r="177" spans="2:9" x14ac:dyDescent="0.2">
      <c r="B177" s="45">
        <v>44348</v>
      </c>
      <c r="C177" s="42">
        <v>700</v>
      </c>
      <c r="D177" s="42">
        <v>800</v>
      </c>
      <c r="E177" s="42">
        <v>720</v>
      </c>
      <c r="F177" s="42">
        <v>640</v>
      </c>
      <c r="G177" s="42">
        <v>230</v>
      </c>
      <c r="H177" s="42">
        <v>0</v>
      </c>
      <c r="I177" s="42">
        <v>350</v>
      </c>
    </row>
    <row r="178" spans="2:9" x14ac:dyDescent="0.2">
      <c r="B178" s="45">
        <v>44378</v>
      </c>
      <c r="C178" s="42">
        <v>700</v>
      </c>
      <c r="D178" s="42">
        <v>800</v>
      </c>
      <c r="E178" s="42">
        <v>720</v>
      </c>
      <c r="F178" s="42">
        <v>640</v>
      </c>
      <c r="G178" s="42">
        <v>230</v>
      </c>
      <c r="H178" s="42">
        <v>0</v>
      </c>
      <c r="I178" s="42">
        <v>350</v>
      </c>
    </row>
    <row r="179" spans="2:9" x14ac:dyDescent="0.2">
      <c r="B179" s="45">
        <v>44409</v>
      </c>
      <c r="C179" s="42">
        <v>700</v>
      </c>
      <c r="D179" s="42">
        <v>800</v>
      </c>
      <c r="E179" s="42">
        <v>720</v>
      </c>
      <c r="F179" s="42">
        <v>640</v>
      </c>
      <c r="G179" s="42">
        <v>230</v>
      </c>
      <c r="H179" s="42">
        <v>0</v>
      </c>
      <c r="I179" s="42">
        <v>350</v>
      </c>
    </row>
    <row r="180" spans="2:9" x14ac:dyDescent="0.2">
      <c r="B180" s="45">
        <v>44440</v>
      </c>
      <c r="C180" s="42">
        <v>700</v>
      </c>
      <c r="D180" s="42">
        <v>800</v>
      </c>
      <c r="E180" s="42">
        <v>720</v>
      </c>
      <c r="F180" s="42">
        <v>640</v>
      </c>
      <c r="G180" s="42">
        <v>230</v>
      </c>
      <c r="H180" s="42">
        <v>0</v>
      </c>
      <c r="I180" s="42">
        <v>350</v>
      </c>
    </row>
    <row r="181" spans="2:9" x14ac:dyDescent="0.2">
      <c r="B181" s="45">
        <v>44470</v>
      </c>
      <c r="C181" s="42">
        <v>700</v>
      </c>
      <c r="D181" s="42">
        <v>800</v>
      </c>
      <c r="E181" s="42">
        <v>720</v>
      </c>
      <c r="F181" s="42">
        <v>640</v>
      </c>
      <c r="G181" s="42">
        <v>230</v>
      </c>
      <c r="H181" s="42">
        <v>0</v>
      </c>
      <c r="I181" s="42">
        <v>350</v>
      </c>
    </row>
    <row r="182" spans="2:9" x14ac:dyDescent="0.2">
      <c r="B182" s="45">
        <v>44501</v>
      </c>
      <c r="C182" s="42">
        <v>700</v>
      </c>
      <c r="D182" s="42">
        <v>800</v>
      </c>
      <c r="E182" s="42">
        <v>720</v>
      </c>
      <c r="F182" s="42">
        <v>640</v>
      </c>
      <c r="G182" s="42">
        <v>230</v>
      </c>
      <c r="H182" s="42">
        <v>0</v>
      </c>
      <c r="I182" s="42">
        <v>350</v>
      </c>
    </row>
    <row r="183" spans="2:9" x14ac:dyDescent="0.2">
      <c r="B183" s="45">
        <v>44531</v>
      </c>
      <c r="C183" s="42">
        <v>700</v>
      </c>
      <c r="D183" s="42">
        <v>800</v>
      </c>
      <c r="E183" s="42">
        <v>720</v>
      </c>
      <c r="F183" s="42">
        <v>640</v>
      </c>
      <c r="G183" s="42">
        <v>230</v>
      </c>
      <c r="H183" s="42">
        <v>0</v>
      </c>
      <c r="I183" s="42">
        <v>350</v>
      </c>
    </row>
    <row r="184" spans="2:9" x14ac:dyDescent="0.2">
      <c r="B184" s="45">
        <v>44562</v>
      </c>
      <c r="C184" s="42">
        <v>700</v>
      </c>
      <c r="D184" s="42">
        <v>800</v>
      </c>
      <c r="E184" s="42">
        <v>720</v>
      </c>
      <c r="F184" s="42">
        <v>640</v>
      </c>
      <c r="G184" s="42">
        <v>230</v>
      </c>
      <c r="H184" s="42">
        <v>0</v>
      </c>
      <c r="I184" s="42">
        <v>350</v>
      </c>
    </row>
    <row r="185" spans="2:9" x14ac:dyDescent="0.2">
      <c r="B185" s="45">
        <v>44593</v>
      </c>
      <c r="C185" s="42">
        <v>700</v>
      </c>
      <c r="D185" s="42">
        <v>800</v>
      </c>
      <c r="E185" s="42">
        <v>720</v>
      </c>
      <c r="F185" s="42">
        <v>640</v>
      </c>
      <c r="G185" s="42">
        <v>230</v>
      </c>
      <c r="H185" s="42">
        <v>0</v>
      </c>
      <c r="I185" s="42">
        <v>350</v>
      </c>
    </row>
    <row r="186" spans="2:9" x14ac:dyDescent="0.2">
      <c r="B186" s="45">
        <v>44621</v>
      </c>
      <c r="C186" s="42">
        <v>700</v>
      </c>
      <c r="D186" s="42">
        <v>800</v>
      </c>
      <c r="E186" s="42">
        <v>720</v>
      </c>
      <c r="F186" s="42">
        <v>640</v>
      </c>
      <c r="G186" s="42">
        <v>230</v>
      </c>
      <c r="H186" s="42">
        <v>0</v>
      </c>
      <c r="I186" s="42">
        <v>350</v>
      </c>
    </row>
    <row r="187" spans="2:9" x14ac:dyDescent="0.2">
      <c r="B187" s="45">
        <v>44652</v>
      </c>
      <c r="C187" s="42">
        <v>700</v>
      </c>
      <c r="D187" s="42">
        <v>800</v>
      </c>
      <c r="E187" s="42">
        <v>720</v>
      </c>
      <c r="F187" s="42">
        <v>640</v>
      </c>
      <c r="G187" s="42">
        <v>230</v>
      </c>
      <c r="H187" s="42">
        <v>0</v>
      </c>
      <c r="I187" s="42">
        <v>350</v>
      </c>
    </row>
    <row r="188" spans="2:9" x14ac:dyDescent="0.2">
      <c r="B188" s="45">
        <v>44682</v>
      </c>
      <c r="C188" s="42">
        <v>700</v>
      </c>
      <c r="D188" s="42">
        <v>800</v>
      </c>
      <c r="E188" s="42">
        <v>720</v>
      </c>
      <c r="F188" s="42">
        <v>640</v>
      </c>
      <c r="G188" s="42">
        <v>230</v>
      </c>
      <c r="H188" s="42">
        <v>0</v>
      </c>
      <c r="I188" s="42">
        <v>350</v>
      </c>
    </row>
    <row r="189" spans="2:9" x14ac:dyDescent="0.2">
      <c r="B189" s="45">
        <v>44713</v>
      </c>
      <c r="C189" s="42">
        <v>700</v>
      </c>
      <c r="D189" s="42">
        <v>800</v>
      </c>
      <c r="E189" s="42">
        <v>720</v>
      </c>
      <c r="F189" s="42">
        <v>640</v>
      </c>
      <c r="G189" s="42">
        <v>230</v>
      </c>
      <c r="H189" s="42">
        <v>0</v>
      </c>
      <c r="I189" s="42">
        <v>350</v>
      </c>
    </row>
    <row r="190" spans="2:9" x14ac:dyDescent="0.2">
      <c r="B190" s="45">
        <v>44743</v>
      </c>
      <c r="C190" s="42">
        <v>700</v>
      </c>
      <c r="D190" s="42">
        <v>800</v>
      </c>
      <c r="E190" s="42">
        <v>720</v>
      </c>
      <c r="F190" s="42">
        <v>640</v>
      </c>
      <c r="G190" s="42">
        <v>230</v>
      </c>
      <c r="H190" s="42">
        <v>0</v>
      </c>
      <c r="I190" s="42">
        <v>350</v>
      </c>
    </row>
    <row r="191" spans="2:9" x14ac:dyDescent="0.2">
      <c r="B191" s="45">
        <v>44774</v>
      </c>
      <c r="C191" s="42">
        <v>700</v>
      </c>
      <c r="D191" s="42">
        <v>800</v>
      </c>
      <c r="E191" s="42">
        <v>720</v>
      </c>
      <c r="F191" s="42">
        <v>640</v>
      </c>
      <c r="G191" s="42">
        <v>230</v>
      </c>
      <c r="H191" s="42">
        <v>0</v>
      </c>
      <c r="I191" s="42">
        <v>350</v>
      </c>
    </row>
    <row r="192" spans="2:9" x14ac:dyDescent="0.2">
      <c r="B192" s="45">
        <v>44805</v>
      </c>
      <c r="C192" s="42">
        <v>700</v>
      </c>
      <c r="D192" s="42">
        <v>800</v>
      </c>
      <c r="E192" s="42">
        <v>720</v>
      </c>
      <c r="F192" s="42">
        <v>640</v>
      </c>
      <c r="G192" s="42">
        <v>230</v>
      </c>
      <c r="H192" s="42">
        <v>0</v>
      </c>
      <c r="I192" s="42">
        <v>350</v>
      </c>
    </row>
    <row r="193" spans="2:9" x14ac:dyDescent="0.2">
      <c r="B193" s="45">
        <v>44835</v>
      </c>
      <c r="C193" s="42">
        <v>700</v>
      </c>
      <c r="D193" s="42">
        <v>800</v>
      </c>
      <c r="E193" s="42">
        <v>720</v>
      </c>
      <c r="F193" s="42">
        <v>640</v>
      </c>
      <c r="G193" s="42">
        <v>230</v>
      </c>
      <c r="H193" s="42">
        <v>0</v>
      </c>
      <c r="I193" s="42">
        <v>350</v>
      </c>
    </row>
    <row r="194" spans="2:9" x14ac:dyDescent="0.2">
      <c r="B194" s="45">
        <v>44866</v>
      </c>
      <c r="C194" s="42">
        <v>700</v>
      </c>
      <c r="D194" s="42">
        <v>800</v>
      </c>
      <c r="E194" s="42">
        <v>720</v>
      </c>
      <c r="F194" s="42">
        <v>640</v>
      </c>
      <c r="G194" s="42">
        <v>230</v>
      </c>
      <c r="H194" s="42">
        <v>0</v>
      </c>
      <c r="I194" s="42">
        <v>350</v>
      </c>
    </row>
    <row r="195" spans="2:9" x14ac:dyDescent="0.2">
      <c r="B195" s="45">
        <v>44896</v>
      </c>
      <c r="C195" s="42">
        <v>700</v>
      </c>
      <c r="D195" s="42">
        <v>800</v>
      </c>
      <c r="E195" s="42">
        <v>720</v>
      </c>
      <c r="F195" s="42">
        <v>640</v>
      </c>
      <c r="G195" s="42">
        <v>230</v>
      </c>
      <c r="H195" s="42">
        <v>0</v>
      </c>
      <c r="I195" s="42">
        <v>350</v>
      </c>
    </row>
    <row r="196" spans="2:9" x14ac:dyDescent="0.2">
      <c r="B196" s="45">
        <v>44927</v>
      </c>
      <c r="C196" s="42" t="s">
        <v>35</v>
      </c>
      <c r="D196" s="42" t="s">
        <v>36</v>
      </c>
      <c r="E196" s="42" t="s">
        <v>37</v>
      </c>
      <c r="F196" s="42" t="s">
        <v>38</v>
      </c>
      <c r="G196" s="42" t="s">
        <v>39</v>
      </c>
      <c r="H196" s="42" t="s">
        <v>40</v>
      </c>
      <c r="I196" s="42" t="s">
        <v>41</v>
      </c>
    </row>
    <row r="197" spans="2:9" x14ac:dyDescent="0.2">
      <c r="B197" s="45">
        <v>44958</v>
      </c>
      <c r="C197" s="42" t="s">
        <v>35</v>
      </c>
      <c r="D197" s="42" t="s">
        <v>36</v>
      </c>
      <c r="E197" s="42" t="s">
        <v>37</v>
      </c>
      <c r="F197" s="42" t="s">
        <v>38</v>
      </c>
      <c r="G197" s="42" t="s">
        <v>39</v>
      </c>
      <c r="H197" s="42" t="s">
        <v>40</v>
      </c>
      <c r="I197" s="42" t="s">
        <v>41</v>
      </c>
    </row>
    <row r="198" spans="2:9" x14ac:dyDescent="0.2">
      <c r="B198" s="45">
        <v>44986</v>
      </c>
      <c r="C198" s="42" t="s">
        <v>35</v>
      </c>
      <c r="D198" s="42" t="s">
        <v>36</v>
      </c>
      <c r="E198" s="42" t="s">
        <v>37</v>
      </c>
      <c r="F198" s="42" t="s">
        <v>38</v>
      </c>
      <c r="G198" s="42" t="s">
        <v>39</v>
      </c>
      <c r="H198" s="42" t="s">
        <v>40</v>
      </c>
      <c r="I198" s="42" t="s">
        <v>41</v>
      </c>
    </row>
    <row r="199" spans="2:9" x14ac:dyDescent="0.2">
      <c r="B199" s="45">
        <v>45017</v>
      </c>
      <c r="C199" s="42" t="s">
        <v>35</v>
      </c>
      <c r="D199" s="42" t="s">
        <v>36</v>
      </c>
      <c r="E199" s="42" t="s">
        <v>37</v>
      </c>
      <c r="F199" s="42" t="s">
        <v>38</v>
      </c>
      <c r="G199" s="42" t="s">
        <v>39</v>
      </c>
      <c r="H199" s="42" t="s">
        <v>40</v>
      </c>
      <c r="I199" s="42" t="s">
        <v>41</v>
      </c>
    </row>
    <row r="200" spans="2:9" x14ac:dyDescent="0.2">
      <c r="B200" s="45">
        <v>45047</v>
      </c>
      <c r="C200" s="42" t="s">
        <v>35</v>
      </c>
      <c r="D200" s="42" t="s">
        <v>36</v>
      </c>
      <c r="E200" s="42" t="s">
        <v>37</v>
      </c>
      <c r="F200" s="42" t="s">
        <v>38</v>
      </c>
      <c r="G200" s="42" t="s">
        <v>39</v>
      </c>
      <c r="H200" s="42" t="s">
        <v>40</v>
      </c>
      <c r="I200" s="42" t="s">
        <v>41</v>
      </c>
    </row>
    <row r="201" spans="2:9" x14ac:dyDescent="0.2">
      <c r="B201" s="45">
        <v>45078</v>
      </c>
      <c r="C201" s="42" t="s">
        <v>35</v>
      </c>
      <c r="D201" s="42" t="s">
        <v>36</v>
      </c>
      <c r="E201" s="42" t="s">
        <v>37</v>
      </c>
      <c r="F201" s="42" t="s">
        <v>38</v>
      </c>
      <c r="G201" s="42" t="s">
        <v>39</v>
      </c>
      <c r="H201" s="42" t="s">
        <v>40</v>
      </c>
      <c r="I201" s="42" t="s">
        <v>41</v>
      </c>
    </row>
    <row r="202" spans="2:9" x14ac:dyDescent="0.2">
      <c r="B202" s="45">
        <v>45108</v>
      </c>
      <c r="C202" s="42" t="s">
        <v>35</v>
      </c>
      <c r="D202" s="42" t="s">
        <v>36</v>
      </c>
      <c r="E202" s="42" t="s">
        <v>37</v>
      </c>
      <c r="F202" s="42" t="s">
        <v>38</v>
      </c>
      <c r="G202" s="42" t="s">
        <v>39</v>
      </c>
      <c r="H202" s="42" t="s">
        <v>40</v>
      </c>
      <c r="I202" s="42" t="s">
        <v>41</v>
      </c>
    </row>
    <row r="203" spans="2:9" x14ac:dyDescent="0.2">
      <c r="B203" s="45">
        <v>45139</v>
      </c>
      <c r="C203" s="42" t="s">
        <v>42</v>
      </c>
      <c r="D203" s="42" t="s">
        <v>43</v>
      </c>
      <c r="E203" s="42" t="s">
        <v>44</v>
      </c>
      <c r="F203" s="42" t="s">
        <v>45</v>
      </c>
      <c r="G203" s="42" t="s">
        <v>39</v>
      </c>
      <c r="H203" s="42" t="s">
        <v>40</v>
      </c>
      <c r="I203" s="42" t="s">
        <v>41</v>
      </c>
    </row>
    <row r="204" spans="2:9" x14ac:dyDescent="0.2">
      <c r="B204" s="45">
        <v>45170</v>
      </c>
      <c r="C204" s="42" t="s">
        <v>42</v>
      </c>
      <c r="D204" s="42" t="s">
        <v>43</v>
      </c>
      <c r="E204" s="42" t="s">
        <v>44</v>
      </c>
      <c r="F204" s="42" t="s">
        <v>45</v>
      </c>
      <c r="G204" s="42" t="s">
        <v>39</v>
      </c>
      <c r="H204" s="42" t="s">
        <v>40</v>
      </c>
      <c r="I204" s="42" t="s">
        <v>41</v>
      </c>
    </row>
    <row r="205" spans="2:9" x14ac:dyDescent="0.2">
      <c r="B205" s="45">
        <v>45200</v>
      </c>
      <c r="C205" s="42" t="s">
        <v>42</v>
      </c>
      <c r="D205" s="42" t="s">
        <v>43</v>
      </c>
      <c r="E205" s="42" t="s">
        <v>44</v>
      </c>
      <c r="F205" s="42" t="s">
        <v>45</v>
      </c>
      <c r="G205" s="42" t="s">
        <v>39</v>
      </c>
      <c r="H205" s="42" t="s">
        <v>40</v>
      </c>
      <c r="I205" s="42" t="s">
        <v>41</v>
      </c>
    </row>
    <row r="206" spans="2:9" x14ac:dyDescent="0.2">
      <c r="B206" s="45">
        <v>45231</v>
      </c>
      <c r="C206" s="42" t="s">
        <v>42</v>
      </c>
      <c r="D206" s="42" t="s">
        <v>43</v>
      </c>
      <c r="E206" s="42" t="s">
        <v>44</v>
      </c>
      <c r="F206" s="42" t="s">
        <v>45</v>
      </c>
      <c r="G206" s="42" t="s">
        <v>39</v>
      </c>
      <c r="H206" s="42" t="s">
        <v>40</v>
      </c>
      <c r="I206" s="42" t="s">
        <v>41</v>
      </c>
    </row>
    <row r="207" spans="2:9" x14ac:dyDescent="0.2">
      <c r="B207" s="45">
        <v>45261</v>
      </c>
      <c r="C207" s="42" t="s">
        <v>42</v>
      </c>
      <c r="D207" s="42" t="s">
        <v>43</v>
      </c>
      <c r="E207" s="42" t="s">
        <v>44</v>
      </c>
      <c r="F207" s="42" t="s">
        <v>45</v>
      </c>
      <c r="G207" s="42" t="s">
        <v>39</v>
      </c>
      <c r="H207" s="42" t="s">
        <v>40</v>
      </c>
      <c r="I207" s="42" t="s">
        <v>41</v>
      </c>
    </row>
    <row r="208" spans="2:9" x14ac:dyDescent="0.2">
      <c r="B208" s="45">
        <v>45292</v>
      </c>
      <c r="C208" s="42">
        <v>710</v>
      </c>
      <c r="D208" s="42">
        <v>810</v>
      </c>
      <c r="E208" s="42">
        <v>730</v>
      </c>
      <c r="F208" s="42">
        <v>650</v>
      </c>
      <c r="G208" s="42">
        <v>230</v>
      </c>
      <c r="H208" s="42">
        <v>0</v>
      </c>
      <c r="I208" s="42">
        <v>350</v>
      </c>
    </row>
    <row r="209" spans="2:9" x14ac:dyDescent="0.2">
      <c r="B209" s="45">
        <v>45323</v>
      </c>
      <c r="C209" s="42">
        <v>730</v>
      </c>
      <c r="D209" s="42">
        <v>830</v>
      </c>
      <c r="E209" s="42">
        <v>750</v>
      </c>
      <c r="F209" s="42">
        <v>670</v>
      </c>
      <c r="G209" s="42">
        <v>240</v>
      </c>
      <c r="H209" s="42">
        <v>0</v>
      </c>
      <c r="I209" s="42">
        <v>360</v>
      </c>
    </row>
    <row r="210" spans="2:9" x14ac:dyDescent="0.2">
      <c r="B210" s="45">
        <v>45352</v>
      </c>
      <c r="C210" s="42">
        <v>730</v>
      </c>
      <c r="D210" s="42">
        <v>830</v>
      </c>
      <c r="E210" s="42">
        <v>750</v>
      </c>
      <c r="F210" s="42">
        <v>670</v>
      </c>
      <c r="G210" s="42">
        <v>240</v>
      </c>
      <c r="H210" s="42">
        <v>0</v>
      </c>
      <c r="I210" s="42">
        <v>360</v>
      </c>
    </row>
    <row r="211" spans="2:9" x14ac:dyDescent="0.2">
      <c r="B211" s="45">
        <v>45383</v>
      </c>
      <c r="C211" s="42">
        <v>730</v>
      </c>
      <c r="D211" s="42">
        <v>830</v>
      </c>
      <c r="E211" s="42">
        <v>750</v>
      </c>
      <c r="F211" s="42">
        <v>670</v>
      </c>
      <c r="G211" s="42">
        <v>240</v>
      </c>
      <c r="H211" s="42">
        <v>0</v>
      </c>
      <c r="I211" s="42">
        <v>360</v>
      </c>
    </row>
    <row r="212" spans="2:9" x14ac:dyDescent="0.2">
      <c r="B212" s="45">
        <v>45413</v>
      </c>
      <c r="C212" s="42">
        <v>730</v>
      </c>
      <c r="D212" s="42">
        <v>830</v>
      </c>
      <c r="E212" s="42">
        <v>750</v>
      </c>
      <c r="F212" s="42">
        <v>670</v>
      </c>
      <c r="G212" s="42">
        <v>240</v>
      </c>
      <c r="H212" s="42">
        <v>0</v>
      </c>
      <c r="I212" s="42">
        <v>360</v>
      </c>
    </row>
    <row r="213" spans="2:9" x14ac:dyDescent="0.2">
      <c r="B213" s="45">
        <v>45444</v>
      </c>
      <c r="C213" s="42">
        <v>730</v>
      </c>
      <c r="D213" s="42">
        <v>830</v>
      </c>
      <c r="E213" s="42">
        <v>750</v>
      </c>
      <c r="F213" s="42">
        <v>670</v>
      </c>
      <c r="G213" s="42">
        <v>240</v>
      </c>
      <c r="H213" s="42">
        <v>0</v>
      </c>
      <c r="I213" s="42">
        <v>360</v>
      </c>
    </row>
    <row r="214" spans="2:9" x14ac:dyDescent="0.2">
      <c r="B214" s="45">
        <v>45474</v>
      </c>
      <c r="C214" s="42">
        <v>740</v>
      </c>
      <c r="D214" s="42">
        <v>840</v>
      </c>
      <c r="E214" s="42">
        <v>760</v>
      </c>
      <c r="F214" s="42">
        <v>680</v>
      </c>
      <c r="G214" s="42">
        <v>240</v>
      </c>
      <c r="H214" s="42">
        <v>0</v>
      </c>
      <c r="I214" s="42">
        <v>360</v>
      </c>
    </row>
    <row r="215" spans="2:9" x14ac:dyDescent="0.2">
      <c r="B215" s="45">
        <v>45505</v>
      </c>
      <c r="C215" s="42">
        <v>740</v>
      </c>
      <c r="D215" s="42">
        <v>840</v>
      </c>
      <c r="E215" s="42">
        <v>760</v>
      </c>
      <c r="F215" s="42">
        <v>680</v>
      </c>
      <c r="G215" s="42">
        <v>240</v>
      </c>
      <c r="H215" s="42">
        <v>0</v>
      </c>
      <c r="I215" s="42">
        <v>360</v>
      </c>
    </row>
    <row r="216" spans="2:9" x14ac:dyDescent="0.2">
      <c r="B216" s="45">
        <v>45536</v>
      </c>
      <c r="C216" s="42">
        <v>740</v>
      </c>
      <c r="D216" s="42">
        <v>840</v>
      </c>
      <c r="E216" s="42">
        <v>760</v>
      </c>
      <c r="F216" s="42">
        <v>680</v>
      </c>
      <c r="G216" s="42">
        <v>240</v>
      </c>
      <c r="H216" s="42">
        <v>0</v>
      </c>
      <c r="I216" s="42">
        <v>360</v>
      </c>
    </row>
    <row r="217" spans="2:9" x14ac:dyDescent="0.2">
      <c r="B217" s="45">
        <v>45566</v>
      </c>
      <c r="C217" s="42">
        <v>740</v>
      </c>
      <c r="D217" s="42">
        <v>840</v>
      </c>
      <c r="E217" s="42">
        <v>760</v>
      </c>
      <c r="F217" s="42">
        <v>680</v>
      </c>
      <c r="G217" s="42">
        <v>240</v>
      </c>
      <c r="H217" s="42">
        <v>0</v>
      </c>
      <c r="I217" s="42">
        <v>360</v>
      </c>
    </row>
    <row r="218" spans="2:9" x14ac:dyDescent="0.2">
      <c r="B218" s="45">
        <v>45597</v>
      </c>
      <c r="C218" s="42">
        <v>750</v>
      </c>
      <c r="D218" s="42">
        <v>850</v>
      </c>
      <c r="E218" s="42">
        <v>770</v>
      </c>
      <c r="F218" s="42">
        <v>690</v>
      </c>
      <c r="G218" s="42">
        <v>250</v>
      </c>
      <c r="H218" s="42">
        <v>0</v>
      </c>
      <c r="I218" s="42">
        <v>360</v>
      </c>
    </row>
    <row r="219" spans="2:9" x14ac:dyDescent="0.2">
      <c r="B219" s="45">
        <v>45627</v>
      </c>
      <c r="C219" s="42">
        <v>750</v>
      </c>
      <c r="D219" s="42">
        <v>850</v>
      </c>
      <c r="E219" s="42">
        <v>770</v>
      </c>
      <c r="F219" s="42">
        <v>690</v>
      </c>
      <c r="G219" s="42">
        <v>250</v>
      </c>
      <c r="H219" s="42">
        <v>0</v>
      </c>
      <c r="I219" s="42">
        <v>360</v>
      </c>
    </row>
    <row r="220" spans="2:9" x14ac:dyDescent="0.2">
      <c r="B220" s="45">
        <v>45688</v>
      </c>
      <c r="C220" s="42">
        <v>750</v>
      </c>
      <c r="D220" s="42">
        <v>850</v>
      </c>
      <c r="E220" s="42">
        <v>770</v>
      </c>
      <c r="F220" s="42">
        <v>690</v>
      </c>
      <c r="G220" s="42">
        <v>250</v>
      </c>
      <c r="H220" s="42">
        <v>0</v>
      </c>
      <c r="I220" s="42">
        <v>360</v>
      </c>
    </row>
    <row r="221" spans="2:9" x14ac:dyDescent="0.2">
      <c r="B221" s="45">
        <v>45716</v>
      </c>
      <c r="C221" s="42">
        <v>770</v>
      </c>
      <c r="D221" s="42">
        <v>870</v>
      </c>
      <c r="E221" s="42">
        <v>790</v>
      </c>
      <c r="F221" s="42">
        <v>710</v>
      </c>
      <c r="G221" s="42">
        <v>250</v>
      </c>
      <c r="H221" s="42">
        <v>0</v>
      </c>
      <c r="I221" s="42">
        <v>370</v>
      </c>
    </row>
    <row r="222" spans="2:9" x14ac:dyDescent="0.2">
      <c r="B222" s="45">
        <v>45747</v>
      </c>
      <c r="C222" s="42">
        <v>770</v>
      </c>
      <c r="D222" s="42">
        <v>870</v>
      </c>
      <c r="E222" s="42">
        <v>790</v>
      </c>
      <c r="F222" s="42">
        <v>710</v>
      </c>
      <c r="G222" s="42">
        <v>250</v>
      </c>
      <c r="H222" s="42">
        <v>0</v>
      </c>
      <c r="I222" s="42">
        <v>370</v>
      </c>
    </row>
    <row r="223" spans="2:9" x14ac:dyDescent="0.2">
      <c r="B223" s="45">
        <v>45777</v>
      </c>
      <c r="C223" s="42">
        <v>770</v>
      </c>
      <c r="D223" s="42">
        <v>870</v>
      </c>
      <c r="E223" s="42">
        <v>790</v>
      </c>
      <c r="F223" s="42">
        <v>710</v>
      </c>
      <c r="G223" s="42">
        <v>250</v>
      </c>
      <c r="H223" s="42">
        <v>0</v>
      </c>
      <c r="I223" s="42">
        <v>370</v>
      </c>
    </row>
    <row r="224" spans="2:9" x14ac:dyDescent="0.2">
      <c r="B224" s="45">
        <v>45808</v>
      </c>
      <c r="C224" s="42">
        <v>770</v>
      </c>
      <c r="D224" s="42">
        <v>870</v>
      </c>
      <c r="E224" s="42">
        <v>790</v>
      </c>
      <c r="F224" s="42">
        <v>710</v>
      </c>
      <c r="G224" s="42">
        <v>250</v>
      </c>
      <c r="H224" s="42">
        <v>0</v>
      </c>
      <c r="I224" s="42">
        <v>370</v>
      </c>
    </row>
    <row r="225" spans="2:9" x14ac:dyDescent="0.2">
      <c r="B225" s="45">
        <v>45838</v>
      </c>
      <c r="C225" s="42">
        <v>770</v>
      </c>
      <c r="D225" s="42">
        <v>870</v>
      </c>
      <c r="E225" s="42">
        <v>790</v>
      </c>
      <c r="F225" s="42">
        <v>710</v>
      </c>
      <c r="G225" s="42">
        <v>250</v>
      </c>
      <c r="H225" s="42">
        <v>0</v>
      </c>
      <c r="I225" s="42">
        <v>370</v>
      </c>
    </row>
    <row r="226" spans="2:9" x14ac:dyDescent="0.2">
      <c r="B226" s="45">
        <v>45869</v>
      </c>
      <c r="C226" s="42">
        <v>770</v>
      </c>
      <c r="D226" s="42">
        <v>870</v>
      </c>
      <c r="E226" s="42">
        <v>790</v>
      </c>
      <c r="F226" s="42">
        <v>710</v>
      </c>
      <c r="G226" s="42">
        <v>250</v>
      </c>
      <c r="H226" s="42">
        <v>0</v>
      </c>
      <c r="I226" s="42">
        <v>370</v>
      </c>
    </row>
    <row r="227" spans="2:9" x14ac:dyDescent="0.2">
      <c r="B227" s="45">
        <v>45900</v>
      </c>
      <c r="C227" s="42">
        <v>770</v>
      </c>
      <c r="D227" s="42">
        <v>870</v>
      </c>
      <c r="E227" s="42">
        <v>790</v>
      </c>
      <c r="F227" s="42">
        <v>710</v>
      </c>
      <c r="G227" s="42">
        <v>250</v>
      </c>
      <c r="H227" s="42">
        <v>0</v>
      </c>
      <c r="I227" s="42">
        <v>370</v>
      </c>
    </row>
    <row r="228" spans="2:9" x14ac:dyDescent="0.2">
      <c r="B228" s="45">
        <v>45930</v>
      </c>
      <c r="C228" s="42">
        <v>770</v>
      </c>
      <c r="D228" s="42">
        <v>870</v>
      </c>
      <c r="E228" s="42">
        <v>790</v>
      </c>
      <c r="F228" s="42">
        <v>710</v>
      </c>
      <c r="G228" s="42">
        <v>250</v>
      </c>
      <c r="H228" s="42">
        <v>0</v>
      </c>
      <c r="I228" s="42">
        <v>370</v>
      </c>
    </row>
    <row r="229" spans="2:9" x14ac:dyDescent="0.2">
      <c r="B229" s="45">
        <v>45961</v>
      </c>
      <c r="C229" s="42">
        <v>770</v>
      </c>
      <c r="D229" s="42">
        <v>870</v>
      </c>
      <c r="E229" s="42">
        <v>790</v>
      </c>
      <c r="F229" s="42">
        <v>710</v>
      </c>
      <c r="G229" s="42">
        <v>250</v>
      </c>
      <c r="H229" s="42">
        <v>0</v>
      </c>
      <c r="I229" s="42">
        <v>370</v>
      </c>
    </row>
    <row r="230" spans="2:9" x14ac:dyDescent="0.2">
      <c r="B230" s="45">
        <v>45991</v>
      </c>
      <c r="C230" s="42">
        <v>770</v>
      </c>
      <c r="D230" s="42">
        <v>870</v>
      </c>
      <c r="E230" s="42">
        <v>790</v>
      </c>
      <c r="F230" s="42">
        <v>710</v>
      </c>
      <c r="G230" s="42">
        <v>250</v>
      </c>
      <c r="H230" s="42">
        <v>0</v>
      </c>
      <c r="I230" s="42">
        <v>370</v>
      </c>
    </row>
    <row r="231" spans="2:9" x14ac:dyDescent="0.2">
      <c r="B231" s="45">
        <v>46022</v>
      </c>
      <c r="C231" s="42">
        <v>770</v>
      </c>
      <c r="D231" s="42">
        <v>870</v>
      </c>
      <c r="E231" s="42">
        <v>790</v>
      </c>
      <c r="F231" s="42">
        <v>710</v>
      </c>
      <c r="G231" s="42">
        <v>250</v>
      </c>
      <c r="H231" s="42">
        <v>0</v>
      </c>
      <c r="I231" s="42">
        <v>370</v>
      </c>
    </row>
    <row r="234" spans="2:9" x14ac:dyDescent="0.2">
      <c r="B234" s="46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E9F2-8331-4C79-AA97-40D00E5A1D7D}">
  <dimension ref="B2:S21"/>
  <sheetViews>
    <sheetView workbookViewId="0">
      <selection activeCell="L55" sqref="L55"/>
    </sheetView>
  </sheetViews>
  <sheetFormatPr baseColWidth="10" defaultRowHeight="12.75" x14ac:dyDescent="0.2"/>
  <cols>
    <col min="1" max="1" width="7.5703125" customWidth="1"/>
    <col min="3" max="3" width="14.5703125" customWidth="1"/>
    <col min="4" max="4" width="16" customWidth="1"/>
    <col min="5" max="5" width="16.140625" customWidth="1"/>
    <col min="6" max="6" width="18" customWidth="1"/>
    <col min="7" max="7" width="17.140625" customWidth="1"/>
    <col min="8" max="8" width="13.7109375" customWidth="1"/>
    <col min="9" max="9" width="14.5703125" customWidth="1"/>
    <col min="10" max="10" width="14" customWidth="1"/>
    <col min="11" max="11" width="15.28515625" customWidth="1"/>
    <col min="12" max="12" width="14.5703125" customWidth="1"/>
    <col min="13" max="13" width="15" customWidth="1"/>
    <col min="14" max="14" width="17.7109375" customWidth="1"/>
    <col min="15" max="15" width="14" customWidth="1"/>
    <col min="16" max="16" width="14.7109375" customWidth="1"/>
    <col min="17" max="17" width="15.5703125" customWidth="1"/>
    <col min="18" max="18" width="14.85546875" customWidth="1"/>
    <col min="19" max="19" width="15.42578125" customWidth="1"/>
  </cols>
  <sheetData>
    <row r="2" spans="2:19" ht="15" x14ac:dyDescent="0.25">
      <c r="B2" s="43" t="s">
        <v>103</v>
      </c>
    </row>
    <row r="4" spans="2:19" ht="15" x14ac:dyDescent="0.25">
      <c r="C4" s="99">
        <v>2009</v>
      </c>
      <c r="D4" s="99">
        <v>2010</v>
      </c>
      <c r="E4" s="99">
        <v>2011</v>
      </c>
      <c r="F4" s="99">
        <v>2012</v>
      </c>
      <c r="G4" s="99">
        <v>2013</v>
      </c>
      <c r="H4" s="99">
        <v>2014</v>
      </c>
      <c r="I4" s="99">
        <v>2015</v>
      </c>
      <c r="J4" s="99">
        <v>2016</v>
      </c>
      <c r="K4" s="99">
        <v>2017</v>
      </c>
      <c r="L4" s="99">
        <v>2018</v>
      </c>
      <c r="M4" s="99">
        <v>2019</v>
      </c>
      <c r="N4" s="99">
        <v>2020</v>
      </c>
      <c r="O4" s="99">
        <v>2021</v>
      </c>
      <c r="P4" s="99">
        <v>2022</v>
      </c>
      <c r="Q4" s="99">
        <v>2023</v>
      </c>
      <c r="R4" s="99">
        <v>2024</v>
      </c>
      <c r="S4" s="99">
        <v>2025</v>
      </c>
    </row>
    <row r="5" spans="2:19" x14ac:dyDescent="0.2">
      <c r="B5" s="100" t="s">
        <v>50</v>
      </c>
      <c r="C5" s="101">
        <v>80933968</v>
      </c>
      <c r="D5" s="101">
        <v>81294809</v>
      </c>
      <c r="E5" s="101">
        <v>81862930</v>
      </c>
      <c r="F5" s="101">
        <v>82383326</v>
      </c>
      <c r="G5" s="102">
        <v>83039519</v>
      </c>
      <c r="H5" s="103">
        <v>81796218</v>
      </c>
      <c r="I5" s="103">
        <v>78793458</v>
      </c>
      <c r="J5" s="103">
        <v>76633029</v>
      </c>
      <c r="K5" s="103">
        <v>75442044</v>
      </c>
      <c r="L5" s="103">
        <v>81086046</v>
      </c>
      <c r="M5" s="103">
        <v>84889694</v>
      </c>
      <c r="N5" s="103">
        <v>70915086</v>
      </c>
      <c r="O5" s="103">
        <v>36396472</v>
      </c>
      <c r="P5" s="103">
        <v>50439275</v>
      </c>
      <c r="Q5" s="103">
        <v>58541964</v>
      </c>
      <c r="R5" s="103">
        <v>68055008</v>
      </c>
      <c r="S5" s="103">
        <v>70668364</v>
      </c>
    </row>
    <row r="6" spans="2:19" x14ac:dyDescent="0.2">
      <c r="B6" s="100" t="s">
        <v>51</v>
      </c>
      <c r="C6" s="101">
        <v>66206670</v>
      </c>
      <c r="D6" s="101">
        <v>64241039</v>
      </c>
      <c r="E6" s="101">
        <v>67173642</v>
      </c>
      <c r="F6" s="101">
        <v>65654985</v>
      </c>
      <c r="G6" s="102">
        <v>64421762</v>
      </c>
      <c r="H6" s="103">
        <v>63698782</v>
      </c>
      <c r="I6" s="103">
        <v>64512008</v>
      </c>
      <c r="J6" s="103">
        <v>66813015</v>
      </c>
      <c r="K6" s="103">
        <v>62679794</v>
      </c>
      <c r="L6" s="103">
        <v>68101048</v>
      </c>
      <c r="M6" s="103">
        <v>69297396</v>
      </c>
      <c r="N6" s="103">
        <v>59730178</v>
      </c>
      <c r="O6" s="103">
        <v>36078817</v>
      </c>
      <c r="P6" s="103">
        <v>42690670</v>
      </c>
      <c r="Q6" s="103">
        <v>49823838</v>
      </c>
      <c r="R6" s="103">
        <v>59046067</v>
      </c>
      <c r="S6" s="103">
        <v>58392948</v>
      </c>
    </row>
    <row r="7" spans="2:19" x14ac:dyDescent="0.2">
      <c r="B7" s="100" t="s">
        <v>52</v>
      </c>
      <c r="C7" s="101">
        <v>96647493</v>
      </c>
      <c r="D7" s="101">
        <v>91914800.460999995</v>
      </c>
      <c r="E7" s="101">
        <v>99287774</v>
      </c>
      <c r="F7" s="101">
        <v>94288042</v>
      </c>
      <c r="G7" s="102">
        <v>90928356</v>
      </c>
      <c r="H7" s="103">
        <v>94158183</v>
      </c>
      <c r="I7" s="103">
        <v>93248362</v>
      </c>
      <c r="J7" s="103">
        <v>90459821</v>
      </c>
      <c r="K7" s="103">
        <v>94309073</v>
      </c>
      <c r="L7" s="103">
        <v>95729911</v>
      </c>
      <c r="M7" s="103">
        <v>98882745</v>
      </c>
      <c r="N7" s="103">
        <v>48464641</v>
      </c>
      <c r="O7" s="103">
        <v>38900057</v>
      </c>
      <c r="P7" s="103">
        <v>67888295</v>
      </c>
      <c r="Q7" s="103">
        <v>75115187</v>
      </c>
      <c r="R7" s="103">
        <v>79080936</v>
      </c>
      <c r="S7" s="103">
        <v>84567187</v>
      </c>
    </row>
    <row r="8" spans="2:19" x14ac:dyDescent="0.2">
      <c r="B8" s="100" t="s">
        <v>53</v>
      </c>
      <c r="C8" s="101">
        <v>95664225</v>
      </c>
      <c r="D8" s="101">
        <v>98579572.752000004</v>
      </c>
      <c r="E8" s="101">
        <v>95872449</v>
      </c>
      <c r="F8" s="101">
        <v>91316563</v>
      </c>
      <c r="G8" s="102">
        <v>99904140</v>
      </c>
      <c r="H8" s="103">
        <v>95828508</v>
      </c>
      <c r="I8" s="103">
        <v>92909518</v>
      </c>
      <c r="J8" s="103">
        <v>90359138</v>
      </c>
      <c r="K8" s="103">
        <v>83955678</v>
      </c>
      <c r="L8" s="103">
        <v>97624655</v>
      </c>
      <c r="M8" s="103">
        <v>99240928</v>
      </c>
      <c r="N8" s="103">
        <v>15129878</v>
      </c>
      <c r="O8" s="103">
        <v>24020846</v>
      </c>
      <c r="P8" s="103">
        <v>66248322</v>
      </c>
      <c r="Q8" s="103">
        <v>69558671</v>
      </c>
      <c r="R8" s="103">
        <v>85314495</v>
      </c>
      <c r="S8" s="103">
        <v>84627939</v>
      </c>
    </row>
    <row r="9" spans="2:19" x14ac:dyDescent="0.2">
      <c r="B9" s="100" t="s">
        <v>54</v>
      </c>
      <c r="C9" s="101">
        <v>92436981</v>
      </c>
      <c r="D9" s="101">
        <v>100996309</v>
      </c>
      <c r="E9" s="101">
        <v>101107501</v>
      </c>
      <c r="F9" s="101">
        <v>96746668</v>
      </c>
      <c r="G9" s="102">
        <v>95567584</v>
      </c>
      <c r="H9" s="103">
        <v>95510916</v>
      </c>
      <c r="I9" s="103">
        <v>88934747</v>
      </c>
      <c r="J9" s="103">
        <v>93978784</v>
      </c>
      <c r="K9" s="103">
        <v>94863191</v>
      </c>
      <c r="L9" s="103">
        <v>98386967</v>
      </c>
      <c r="M9" s="103">
        <v>100025186</v>
      </c>
      <c r="N9" s="103">
        <v>12683372</v>
      </c>
      <c r="O9" s="103">
        <v>33952409</v>
      </c>
      <c r="P9" s="103">
        <v>69451109</v>
      </c>
      <c r="Q9" s="103">
        <v>76953244</v>
      </c>
      <c r="R9" s="103">
        <v>78977835</v>
      </c>
      <c r="S9" s="103">
        <v>82944542</v>
      </c>
    </row>
    <row r="10" spans="2:19" x14ac:dyDescent="0.2">
      <c r="B10" s="100" t="s">
        <v>55</v>
      </c>
      <c r="C10" s="101">
        <v>90559726</v>
      </c>
      <c r="D10" s="101">
        <v>96541681.791999981</v>
      </c>
      <c r="E10" s="101">
        <v>93414270</v>
      </c>
      <c r="F10" s="101">
        <v>94584908</v>
      </c>
      <c r="G10" s="102">
        <v>92060536</v>
      </c>
      <c r="H10" s="103">
        <v>89739503</v>
      </c>
      <c r="I10" s="103">
        <v>89913551</v>
      </c>
      <c r="J10" s="103">
        <v>86577958</v>
      </c>
      <c r="K10" s="103">
        <v>88442974</v>
      </c>
      <c r="L10" s="103">
        <v>94494401</v>
      </c>
      <c r="M10" s="103">
        <v>93871560</v>
      </c>
      <c r="N10" s="103">
        <v>10799851</v>
      </c>
      <c r="O10" s="103">
        <v>33085322</v>
      </c>
      <c r="P10" s="103">
        <v>62803174</v>
      </c>
      <c r="Q10" s="103">
        <v>69371069</v>
      </c>
      <c r="R10" s="103">
        <v>70304351</v>
      </c>
      <c r="S10" s="103">
        <v>78178196</v>
      </c>
    </row>
    <row r="11" spans="2:19" x14ac:dyDescent="0.2">
      <c r="B11" s="100" t="s">
        <v>56</v>
      </c>
      <c r="C11" s="101">
        <v>91939572</v>
      </c>
      <c r="D11" s="101">
        <v>94551320.170000002</v>
      </c>
      <c r="E11" s="101">
        <v>90611677</v>
      </c>
      <c r="F11" s="101">
        <v>90157871</v>
      </c>
      <c r="G11" s="102">
        <v>93338289</v>
      </c>
      <c r="H11" s="103">
        <v>90997460</v>
      </c>
      <c r="I11" s="103">
        <v>87325582</v>
      </c>
      <c r="J11" s="103">
        <v>84892381</v>
      </c>
      <c r="K11" s="103">
        <v>87837535</v>
      </c>
      <c r="L11" s="103">
        <v>87495800</v>
      </c>
      <c r="M11" s="103">
        <v>93801693</v>
      </c>
      <c r="N11" s="103">
        <v>13225844</v>
      </c>
      <c r="O11" s="103">
        <v>45155952</v>
      </c>
      <c r="P11" s="103">
        <v>59961752</v>
      </c>
      <c r="Q11" s="103">
        <v>71064542</v>
      </c>
      <c r="R11" s="103">
        <v>79458640</v>
      </c>
      <c r="S11" s="103">
        <v>81787072</v>
      </c>
    </row>
    <row r="12" spans="2:19" x14ac:dyDescent="0.2">
      <c r="B12" s="100" t="s">
        <v>57</v>
      </c>
      <c r="C12" s="101">
        <v>95948700</v>
      </c>
      <c r="D12" s="101">
        <v>99321786.879999995</v>
      </c>
      <c r="E12" s="101">
        <v>92499938</v>
      </c>
      <c r="F12" s="101">
        <v>98645306</v>
      </c>
      <c r="G12" s="102">
        <v>97828940</v>
      </c>
      <c r="H12" s="103">
        <v>93668508</v>
      </c>
      <c r="I12" s="103">
        <v>89740318</v>
      </c>
      <c r="J12" s="103">
        <v>93037967</v>
      </c>
      <c r="K12" s="103">
        <v>95602277</v>
      </c>
      <c r="L12" s="103">
        <v>101161943</v>
      </c>
      <c r="M12" s="103">
        <v>100338642</v>
      </c>
      <c r="N12" s="103">
        <v>19448326</v>
      </c>
      <c r="O12" s="103">
        <v>51224699</v>
      </c>
      <c r="P12" s="103">
        <v>70300418</v>
      </c>
      <c r="Q12" s="103">
        <v>77165494</v>
      </c>
      <c r="R12" s="103">
        <v>82221684</v>
      </c>
      <c r="S12" s="103">
        <v>83179205</v>
      </c>
    </row>
    <row r="13" spans="2:19" x14ac:dyDescent="0.2">
      <c r="B13" s="100" t="s">
        <v>58</v>
      </c>
      <c r="C13" s="101">
        <v>91636850</v>
      </c>
      <c r="D13" s="101">
        <v>93264871.730000004</v>
      </c>
      <c r="E13" s="101">
        <v>93050291</v>
      </c>
      <c r="F13" s="101">
        <v>85226727</v>
      </c>
      <c r="G13" s="102">
        <v>85262221</v>
      </c>
      <c r="H13" s="103">
        <v>88183310</v>
      </c>
      <c r="I13" s="103">
        <v>87462661</v>
      </c>
      <c r="J13" s="103">
        <v>88476482</v>
      </c>
      <c r="K13" s="103">
        <v>87426409</v>
      </c>
      <c r="L13" s="103">
        <v>85206515</v>
      </c>
      <c r="M13" s="103">
        <v>87137435</v>
      </c>
      <c r="N13" s="103">
        <v>27635092</v>
      </c>
      <c r="O13" s="103">
        <v>52187642</v>
      </c>
      <c r="P13" s="103">
        <v>65109590</v>
      </c>
      <c r="Q13" s="103">
        <v>70965057</v>
      </c>
      <c r="R13" s="103">
        <v>73866264</v>
      </c>
      <c r="S13" s="103">
        <v>79608266</v>
      </c>
    </row>
    <row r="14" spans="2:19" x14ac:dyDescent="0.2">
      <c r="B14" s="100" t="s">
        <v>59</v>
      </c>
      <c r="C14" s="101">
        <v>97434491</v>
      </c>
      <c r="D14" s="101">
        <v>98502057.5</v>
      </c>
      <c r="E14" s="101">
        <v>92681684</v>
      </c>
      <c r="F14" s="101">
        <v>100577178</v>
      </c>
      <c r="G14" s="102">
        <v>101646123</v>
      </c>
      <c r="H14" s="103">
        <v>99764936</v>
      </c>
      <c r="I14" s="103">
        <v>92992749</v>
      </c>
      <c r="J14" s="103">
        <v>87421152</v>
      </c>
      <c r="K14" s="103">
        <v>94126515</v>
      </c>
      <c r="L14" s="103">
        <v>103002323</v>
      </c>
      <c r="M14" s="103">
        <v>75557786</v>
      </c>
      <c r="N14" s="103">
        <v>36266102</v>
      </c>
      <c r="O14" s="103">
        <v>56278852</v>
      </c>
      <c r="P14" s="103">
        <v>66769607</v>
      </c>
      <c r="Q14" s="103">
        <v>78202947</v>
      </c>
      <c r="R14" s="103">
        <v>87148363</v>
      </c>
      <c r="S14" s="103">
        <v>89950688</v>
      </c>
    </row>
    <row r="15" spans="2:19" x14ac:dyDescent="0.2">
      <c r="B15" s="100" t="s">
        <v>60</v>
      </c>
      <c r="C15" s="101">
        <v>96296631</v>
      </c>
      <c r="D15" s="101">
        <v>97521277.949999988</v>
      </c>
      <c r="E15" s="101">
        <v>95381407</v>
      </c>
      <c r="F15" s="101">
        <v>94913039</v>
      </c>
      <c r="G15" s="102">
        <v>95361407</v>
      </c>
      <c r="H15" s="103">
        <v>91475960</v>
      </c>
      <c r="I15" s="103">
        <v>92188661</v>
      </c>
      <c r="J15" s="103">
        <v>89724745</v>
      </c>
      <c r="K15" s="103">
        <v>96456830</v>
      </c>
      <c r="L15" s="103">
        <v>95177954</v>
      </c>
      <c r="M15" s="103">
        <v>60782052</v>
      </c>
      <c r="N15" s="103">
        <v>40299774</v>
      </c>
      <c r="O15" s="103">
        <v>58245862</v>
      </c>
      <c r="P15" s="103">
        <v>68634350</v>
      </c>
      <c r="Q15" s="103">
        <v>79754706</v>
      </c>
      <c r="R15" s="103">
        <v>82811484</v>
      </c>
      <c r="S15" s="103">
        <v>83463881</v>
      </c>
    </row>
    <row r="16" spans="2:19" x14ac:dyDescent="0.2">
      <c r="B16" s="100" t="s">
        <v>61</v>
      </c>
      <c r="C16" s="101">
        <v>95772084</v>
      </c>
      <c r="D16" s="101">
        <v>97809949.179999992</v>
      </c>
      <c r="E16" s="101">
        <v>95317793</v>
      </c>
      <c r="F16" s="101">
        <v>93395573</v>
      </c>
      <c r="G16" s="102">
        <v>95121669</v>
      </c>
      <c r="H16" s="103">
        <v>92031162</v>
      </c>
      <c r="I16" s="103">
        <v>89379387</v>
      </c>
      <c r="J16" s="103">
        <v>88768004</v>
      </c>
      <c r="K16" s="103">
        <v>90679882</v>
      </c>
      <c r="L16" s="103">
        <v>92608972</v>
      </c>
      <c r="M16" s="103">
        <v>73667395</v>
      </c>
      <c r="N16" s="103">
        <v>41962507</v>
      </c>
      <c r="O16" s="103">
        <v>61422008</v>
      </c>
      <c r="P16" s="103">
        <v>66667069</v>
      </c>
      <c r="Q16" s="103">
        <v>75304854</v>
      </c>
      <c r="R16" s="103">
        <v>79735121</v>
      </c>
      <c r="S16" s="103">
        <v>80835979</v>
      </c>
    </row>
    <row r="17" spans="2:19" x14ac:dyDescent="0.2">
      <c r="B17" s="104" t="s">
        <v>89</v>
      </c>
      <c r="C17" s="105">
        <v>1091477391</v>
      </c>
      <c r="D17" s="105">
        <v>1114539475.415</v>
      </c>
      <c r="E17" s="105">
        <v>1098261356</v>
      </c>
      <c r="F17" s="105">
        <v>1087890186</v>
      </c>
      <c r="G17" s="105">
        <v>1094480546</v>
      </c>
      <c r="H17" s="105">
        <v>1076853446</v>
      </c>
      <c r="I17" s="105">
        <v>1047401002</v>
      </c>
      <c r="J17" s="105">
        <v>1037142476</v>
      </c>
      <c r="K17" s="105">
        <v>1051822202</v>
      </c>
      <c r="L17" s="105">
        <v>1100076535</v>
      </c>
      <c r="M17" s="105">
        <v>1037492512</v>
      </c>
      <c r="N17" s="106">
        <v>396560651</v>
      </c>
      <c r="O17" s="106">
        <v>526948938</v>
      </c>
      <c r="P17" s="106">
        <f>SUM(P5:P16)</f>
        <v>756963631</v>
      </c>
      <c r="Q17" s="106">
        <f>SUM(Q5:Q16)</f>
        <v>851821573</v>
      </c>
      <c r="R17" s="106">
        <f>SUM(R5:R16)</f>
        <v>926020248</v>
      </c>
      <c r="S17" s="106">
        <f>SUM(S5:S16)</f>
        <v>958204267</v>
      </c>
    </row>
    <row r="19" spans="2:19" x14ac:dyDescent="0.2">
      <c r="C19" s="107"/>
      <c r="D19" s="107"/>
      <c r="E19" s="107"/>
      <c r="F19" s="107"/>
      <c r="G19" s="107"/>
      <c r="H19" s="107"/>
      <c r="I19" s="107"/>
      <c r="J19" s="107"/>
      <c r="K19" s="107"/>
      <c r="L19" s="107"/>
    </row>
    <row r="20" spans="2:19" x14ac:dyDescent="0.2">
      <c r="B20" t="s">
        <v>104</v>
      </c>
    </row>
    <row r="21" spans="2:19" x14ac:dyDescent="0.2">
      <c r="C21" s="83"/>
      <c r="D21" s="83"/>
      <c r="E21" s="83"/>
      <c r="F21" s="83"/>
      <c r="G21" s="83"/>
      <c r="H21" s="83"/>
      <c r="I21" s="83"/>
      <c r="J21" s="83"/>
      <c r="K21" s="83"/>
      <c r="L21" s="83"/>
    </row>
  </sheetData>
  <conditionalFormatting sqref="H5:S16">
    <cfRule type="cellIs" dxfId="0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87BF613665B4281DA899A6FFF08B3" ma:contentTypeVersion="10" ma:contentTypeDescription="Crear nuevo documento." ma:contentTypeScope="" ma:versionID="5995fb7f2400b41de1f4336ff6b97143">
  <xsd:schema xmlns:xsd="http://www.w3.org/2001/XMLSchema" xmlns:xs="http://www.w3.org/2001/XMLSchema" xmlns:p="http://schemas.microsoft.com/office/2006/metadata/properties" xmlns:ns2="40f6b98d-87b6-4364-b52d-986d9f61669a" xmlns:ns3="c1dcf2d5-c525-4c9b-804c-25a9f7753c3c" targetNamespace="http://schemas.microsoft.com/office/2006/metadata/properties" ma:root="true" ma:fieldsID="8699d5ca4e6e8adce328a2472f6a7485" ns2:_="" ns3:_="">
    <xsd:import namespace="40f6b98d-87b6-4364-b52d-986d9f61669a"/>
    <xsd:import namespace="c1dcf2d5-c525-4c9b-804c-25a9f7753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b98d-87b6-4364-b52d-986d9f6166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cf2d5-c525-4c9b-804c-25a9f7753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504AA5-E341-4C46-9A37-B5E4DA16A3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F29C0-84F9-42C4-89B3-041C0FA08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b98d-87b6-4364-b52d-986d9f61669a"/>
    <ds:schemaRef ds:uri="c1dcf2d5-c525-4c9b-804c-25a9f7753c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CADA3A-9FD3-4585-B4A7-B7E0999EABD8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c1dcf2d5-c525-4c9b-804c-25a9f7753c3c"/>
    <ds:schemaRef ds:uri="40f6b98d-87b6-4364-b52d-986d9f61669a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Metro 2025-26</vt:lpstr>
      <vt:lpstr>Evasión</vt:lpstr>
      <vt:lpstr>Metro Tr tipo de tarifa 2010-25</vt:lpstr>
      <vt:lpstr>Numero de usuarios en Sistema</vt:lpstr>
      <vt:lpstr>Afluencia de pasajeros 1990-25</vt:lpstr>
      <vt:lpstr>Metro 2010-24</vt:lpstr>
      <vt:lpstr>Tarifas</vt:lpstr>
      <vt:lpstr>Total de viajes Sistema</vt:lpstr>
    </vt:vector>
  </TitlesOfParts>
  <Manager/>
  <Company>Metro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VIAJES EN METRO AÑO 2007</dc:title>
  <dc:subject>RPTA ORD. 1608 INE</dc:subject>
  <dc:creator>Jmarambio</dc:creator>
  <cp:keywords/>
  <dc:description/>
  <cp:lastModifiedBy>Diego Carlon Soto (Alumno)</cp:lastModifiedBy>
  <cp:revision/>
  <dcterms:created xsi:type="dcterms:W3CDTF">2007-05-29T16:59:33Z</dcterms:created>
  <dcterms:modified xsi:type="dcterms:W3CDTF">2026-04-03T01:14:41Z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0x010100F3187BF613665B4281DA899A6FFF08B3</vt:lpwstr>
  </property>
</Properties>
</file>